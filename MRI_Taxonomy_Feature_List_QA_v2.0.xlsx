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 List" state="visible" r:id="rId4"/>
    <sheet sheetId="2" name="Comparison" state="visible" r:id="rId5"/>
    <sheet sheetId="3" name="Summary" state="visible" r:id="rId6"/>
    <sheet sheetId="4" name="Status Key" state="visible" r:id="rId7"/>
  </sheets>
  <calcPr calcId="171027"/>
</workbook>
</file>

<file path=xl/sharedStrings.xml><?xml version="1.0" encoding="utf-8"?>
<sst xmlns="http://schemas.openxmlformats.org/spreadsheetml/2006/main" count="1531" uniqueCount="592">
  <si>
    <t>MRI ERP Implementation Taxonomy — Feature List &amp; QA Tracker</t>
  </si>
  <si>
    <t>Existing functionality (from source) + items folded in from the DevOps board. DevOps Ref maps each feature to its story. See Comparison sheet for the full reconciliation.</t>
  </si>
  <si>
    <t>#</t>
  </si>
  <si>
    <t>Category</t>
  </si>
  <si>
    <t>Feature</t>
  </si>
  <si>
    <t>Description</t>
  </si>
  <si>
    <t>Where it lives</t>
  </si>
  <si>
    <t>Source</t>
  </si>
  <si>
    <t>Dev Status</t>
  </si>
  <si>
    <t>Tested?</t>
  </si>
  <si>
    <t>QA Status</t>
  </si>
  <si>
    <t>DevOps Ref</t>
  </si>
  <si>
    <t>QA Notes</t>
  </si>
  <si>
    <t>Views &amp; Navigation</t>
  </si>
  <si>
    <t>Three top-level views</t>
  </si>
  <si>
    <t>Switch between Business Process (default), System (MRI PMX), and Mapping (coverage matrix) views via the view switcher.</t>
  </si>
  <si>
    <t>main.js · switchView()</t>
  </si>
  <si>
    <t>Existing</t>
  </si>
  <si>
    <t>Done</t>
  </si>
  <si>
    <t>No</t>
  </si>
  <si>
    <t>Not Tested</t>
  </si>
  <si>
    <t>3216</t>
  </si>
  <si>
    <t/>
  </si>
  <si>
    <t>View-specific hints</t>
  </si>
  <si>
    <t>Contextual sub-heading explains what each view shows as you switch.</t>
  </si>
  <si>
    <t>main.js · VIEW_HINTS</t>
  </si>
  <si>
    <t>Module tab bar</t>
  </si>
  <si>
    <t>Tab per MRI module in the System view; active tab is highlighted; clicking switches modules.</t>
  </si>
  <si>
    <t>main.js · switchTab() / index.html</t>
  </si>
  <si>
    <t>Yes</t>
  </si>
  <si>
    <t>Pass</t>
  </si>
  <si>
    <t>3218, 3228</t>
  </si>
  <si>
    <t>Tested and closed 15 Sept 2026.</t>
  </si>
  <si>
    <t>Value-stream tab bar</t>
  </si>
  <si>
    <t>Tab per business value stream in the Business view, with supporting streams visually marked.</t>
  </si>
  <si>
    <t>businessView.js · renderBusinessTabs()</t>
  </si>
  <si>
    <t>3221</t>
  </si>
  <si>
    <t>Detail panel</t>
  </si>
  <si>
    <t>Right-side slide-in panel opens on any process/sub click, showing full detail for that item.</t>
  </si>
  <si>
    <t>panel.js / businessView.js</t>
  </si>
  <si>
    <t>3217</t>
  </si>
  <si>
    <t>Expand / collapse sub-processes</t>
  </si>
  <si>
    <t>Processes with sub-processes can be expanded individually or all at once (System view).</t>
  </si>
  <si>
    <t>main.js · toggleExpandAll()</t>
  </si>
  <si>
    <t>3219</t>
  </si>
  <si>
    <t>Keyboard shortcuts</t>
  </si>
  <si>
    <t>Esc closes any modal/panel; Enter confirms add dialogs; Ctrl/Cmd+Enter saves the edit modal.</t>
  </si>
  <si>
    <t>main.js · keydown handler</t>
  </si>
  <si>
    <t>System (MRI PMX) View</t>
  </si>
  <si>
    <t>Process/sub card grid</t>
  </si>
  <si>
    <t>Columns of process and sub-process cards for the active MRI module.</t>
  </si>
  <si>
    <t>grid.js</t>
  </si>
  <si>
    <t>MRI module reference</t>
  </si>
  <si>
    <t>Panel shows the MRI navigation path (mri_title) for the process.</t>
  </si>
  <si>
    <t>panel.js</t>
  </si>
  <si>
    <t>3229</t>
  </si>
  <si>
    <t>Setup prerequisites</t>
  </si>
  <si>
    <t>Panel lists MRI configuration that must exist before the process can run (mri_prereqs).</t>
  </si>
  <si>
    <t>Associated MRI screens</t>
  </si>
  <si>
    <t>Panel lists supporting MRI screens with per-screen descriptions (mri_assoc).</t>
  </si>
  <si>
    <t>Core activities &amp; overview</t>
  </si>
  <si>
    <t>Business description and the activities a person performs for each process.</t>
  </si>
  <si>
    <t>3217, 3229</t>
  </si>
  <si>
    <t>9 built-in MRI modules</t>
  </si>
  <si>
    <t>CM, GL, AP, RM, Job Cost, Corporate AR, Budgeting &amp; Forecasting, Investment Accounting, Fixed Asset Accounting.</t>
  </si>
  <si>
    <t>data/index.js</t>
  </si>
  <si>
    <t>3228</t>
  </si>
  <si>
    <t>Business Process View</t>
  </si>
  <si>
    <t>CRE value-stream taxonomy</t>
  </si>
  <si>
    <t>Business view organised as Level-1 value streams → Level-2 groups → Level-3 process cards.</t>
  </si>
  <si>
    <t>business/index.js · valueStreams.js</t>
  </si>
  <si>
    <t>Market variation detail</t>
  </si>
  <si>
    <t>Per-item guidance that differs by market (UK, US, Pan-European), shown for the selected markets.</t>
  </si>
  <si>
    <t>businessView.js · showBusinessPanel()</t>
  </si>
  <si>
    <t>3223</t>
  </si>
  <si>
    <t>Vertical / sector detail</t>
  </si>
  <si>
    <t>Colour-tagged per-sector guidance (Retail, Industrial, Office, Residential).</t>
  </si>
  <si>
    <t>businessView.js</t>
  </si>
  <si>
    <t>3224</t>
  </si>
  <si>
    <t>Standards &amp; frameworks chips</t>
  </si>
  <si>
    <t>Regulatory/standards tags on cards and in the panel signal compliance weight.</t>
  </si>
  <si>
    <t>3225</t>
  </si>
  <si>
    <t>Market filter</t>
  </si>
  <si>
    <t>Multi-select filter drives which market-variation blocks appear in the panel.</t>
  </si>
  <si>
    <t>businessView.js · renderBusinessFilters()</t>
  </si>
  <si>
    <t>3226</t>
  </si>
  <si>
    <t>Vertical filter</t>
  </si>
  <si>
    <t>Multi-select filter hides cards not relevant to the chosen sectors.</t>
  </si>
  <si>
    <t>businessView.js · matchesVerticals()</t>
  </si>
  <si>
    <t>3227</t>
  </si>
  <si>
    <t>System-coverage filter</t>
  </si>
  <si>
    <t>Filter cards by coverage tag (Full / Partial / Outside / Untagged).</t>
  </si>
  <si>
    <t>businessView.js · matchesCoverage()</t>
  </si>
  <si>
    <t>3241</t>
  </si>
  <si>
    <t>Enrichment flag</t>
  </si>
  <si>
    <t>Cards seeded from the reference guide are flagged as needing Market/Vertical/Standards detail.</t>
  </si>
  <si>
    <t>business/index.js · needsEnrichment (data flag); businessView.js renders it</t>
  </si>
  <si>
    <t>3222</t>
  </si>
  <si>
    <t>Value-stream context</t>
  </si>
  <si>
    <t>Panel shows the parent value stream, its note, and whether it is a supporting stream.</t>
  </si>
  <si>
    <t>Mapping / Coverage View</t>
  </si>
  <si>
    <t>Coverage matrix</t>
  </si>
  <si>
    <t>Matrix of business domains (rows) × system modules (columns) with per-cell link counts.</t>
  </si>
  <si>
    <t>mappingView.js · renderMapping()</t>
  </si>
  <si>
    <t>3235</t>
  </si>
  <si>
    <t>Gap highlighting</t>
  </si>
  <si>
    <t>Domains with no system links are flagged as unmapped; coverage stats summarise the matrix.</t>
  </si>
  <si>
    <t>mappingView.js / links.js</t>
  </si>
  <si>
    <t>3237</t>
  </si>
  <si>
    <t>Cell detail (visual flow)</t>
  </si>
  <si>
    <t>Clicking a cell opens a business→system flow list of the linked process pairs.</t>
  </si>
  <si>
    <t>mappingView.js · showCell()</t>
  </si>
  <si>
    <t>3236</t>
  </si>
  <si>
    <t>Tested 2026-08-18</t>
  </si>
  <si>
    <t>Coverage colour coding</t>
  </si>
  <si>
    <t>Cells and chips colour-coded by coverage (Full / Partial / Outside; mixed shown distinctly).</t>
  </si>
  <si>
    <t>mappingView.js · cellCoverage()</t>
  </si>
  <si>
    <t>3235, 3239</t>
  </si>
  <si>
    <t>Click-through navigation</t>
  </si>
  <si>
    <t>From a cell flow, jump straight to the business or system item in its own view.</t>
  </si>
  <si>
    <t>mappingView.js / main.js · navigateToLinked()</t>
  </si>
  <si>
    <t>3232, 3236</t>
  </si>
  <si>
    <t>Edit Mode</t>
  </si>
  <si>
    <t>Toggle edit mode</t>
  </si>
  <si>
    <t>Enter/exit Edit Mode to reveal add/remove/edit controls across the grid.</t>
  </si>
  <si>
    <t>main.js · toggleEdit()</t>
  </si>
  <si>
    <t>3247, 3248</t>
  </si>
  <si>
    <t>Add column / domain</t>
  </si>
  <si>
    <t>Add a new column (System) or domain (Business).</t>
  </si>
  <si>
    <t>addModal.js / businessView.js</t>
  </si>
  <si>
    <t>Add process / sub-process</t>
  </si>
  <si>
    <t>Add processes and sub-processes inline; new items open for editing.</t>
  </si>
  <si>
    <t>Edit any item field</t>
  </si>
  <si>
    <t>In-place modal edits title, description, activities, MRI fields, and client note.</t>
  </si>
  <si>
    <t>editModal.js / businessEditModal.js</t>
  </si>
  <si>
    <t>Remove items</t>
  </si>
  <si>
    <t>Delete columns, processes, and sub-processes (with undo).</t>
  </si>
  <si>
    <t>main.js · removeItem() / businessRemove()</t>
  </si>
  <si>
    <t>Add custom module tab</t>
  </si>
  <si>
    <t>Create a new custom module tab with its own name, icon, and header colour.</t>
  </si>
  <si>
    <t>addModal.js · confirmAddTab()</t>
  </si>
  <si>
    <t>Scope &amp; Coverage Tagging</t>
  </si>
  <si>
    <t>Scope tags (System)</t>
  </si>
  <si>
    <t>Tag each item Core / Custom / Out-of-Scope by cycling; drives filtering and export.</t>
  </si>
  <si>
    <t>main.js · cycleScope()</t>
  </si>
  <si>
    <t>3243</t>
  </si>
  <si>
    <t>Bulk-tag column scope</t>
  </si>
  <si>
    <t>Set scope for every process/sub in a column at once.</t>
  </si>
  <si>
    <t>main.js · bulkTagColumn()</t>
  </si>
  <si>
    <t>3245</t>
  </si>
  <si>
    <t>Scope filter (System)</t>
  </si>
  <si>
    <t>Multi-select filter shows only selected scopes (Core/Custom/OOS/Untagged).</t>
  </si>
  <si>
    <t>main.js · renderScopeFilter()</t>
  </si>
  <si>
    <t>3246</t>
  </si>
  <si>
    <t>Auto out-of-scope</t>
  </si>
  <si>
    <t>Items not linked to any value stream can be treated as auto out-of-scope.</t>
  </si>
  <si>
    <t>grid.js · effectiveScope()</t>
  </si>
  <si>
    <t>3244</t>
  </si>
  <si>
    <t>Coverage tags (Business)</t>
  </si>
  <si>
    <t>Tag business processes Full / Partial / Outside for system coverage; bulk-tag per domain.</t>
  </si>
  <si>
    <t>businessView.js · cycleCoverage()/bulkTagCoverage()</t>
  </si>
  <si>
    <t>3238, 3242</t>
  </si>
  <si>
    <t>Missing-link warning</t>
  </si>
  <si>
    <t>Full/Partial items with no system link are flagged with a "link needed" warning.</t>
  </si>
  <si>
    <t>businessView.js · coverageNeedsLink()</t>
  </si>
  <si>
    <t>3240</t>
  </si>
  <si>
    <t>Cross-view Linkage</t>
  </si>
  <si>
    <t>Business ⇄ system links</t>
  </si>
  <si>
    <t>Each business process links to the MRI PMX process(es) that deliver it, with a coverage level.</t>
  </si>
  <si>
    <t>links.js</t>
  </si>
  <si>
    <t>3231, 3233</t>
  </si>
  <si>
    <t>Seed link template</t>
  </si>
  <si>
    <t>Group-level seed mapping expands to per-process links at load; refined per client.</t>
  </si>
  <si>
    <t>links.js · SEED_LINKS / GROUP_LINKS</t>
  </si>
  <si>
    <t>3231</t>
  </si>
  <si>
    <t>Panel cross-references</t>
  </si>
  <si>
    <t>Both panels show the linked items on the other side, navigable with one click.</t>
  </si>
  <si>
    <t>main.js · renderLinkSection()</t>
  </si>
  <si>
    <t>Inline link editor</t>
  </si>
  <si>
    <t>Edit-mode mapping cards let you add/remove links and set coverage per process.</t>
  </si>
  <si>
    <t>mappingView.js · buildDomainCard()</t>
  </si>
  <si>
    <t>3233, 3234</t>
  </si>
  <si>
    <t>Add-link drill-down combobox</t>
  </si>
  <si>
    <t>Searchable 3-step picker (Module → Process → Sub-process) to add a system link.</t>
  </si>
  <si>
    <t>mappingView.js · openComboDropdown()</t>
  </si>
  <si>
    <t>3233</t>
  </si>
  <si>
    <t>Versioning &amp; Persistence</t>
  </si>
  <si>
    <t>Save named versions</t>
  </si>
  <si>
    <t>Save the full taxonomy state as a named, client-specific version.</t>
  </si>
  <si>
    <t>versions.js / main.js · confirmSaveAs()</t>
  </si>
  <si>
    <t>3250</t>
  </si>
  <si>
    <t>Load / rename / delete versions</t>
  </si>
  <si>
    <t>Manage saved versions from the Versions side panel.</t>
  </si>
  <si>
    <t>versionMenu.js / versions.js</t>
  </si>
  <si>
    <t>3251</t>
  </si>
  <si>
    <t>Save changes to active version</t>
  </si>
  <si>
    <t>Overwrite the active version in place while editing.</t>
  </si>
  <si>
    <t>main.js · saveChangesToVersion()</t>
  </si>
  <si>
    <t>localStorage persistence</t>
  </si>
  <si>
    <t>Versions persist in the browser localStorage (per browser/machine).</t>
  </si>
  <si>
    <t>versions.js</t>
  </si>
  <si>
    <t>Full-state snapshots</t>
  </si>
  <si>
    <t>A version captures data, custom modules, module visibility, links, and business data.</t>
  </si>
  <si>
    <t>main.js / versions.js</t>
  </si>
  <si>
    <t>Version badge + dirty indicator</t>
  </si>
  <si>
    <t>Topbar badge shows the active version and an unsaved-changes dot.</t>
  </si>
  <si>
    <t>main.js · updateVersionBadge()</t>
  </si>
  <si>
    <t>Undo &amp; Reset</t>
  </si>
  <si>
    <t>Undo (up to 20 steps)</t>
  </si>
  <si>
    <t>View-aware undo restores the correct module/view before each mutation.</t>
  </si>
  <si>
    <t>state.js · snapshot() / main.js · undo()</t>
  </si>
  <si>
    <t>3252</t>
  </si>
  <si>
    <t>Reset current tab</t>
  </si>
  <si>
    <t>Restore the active module (System or Business) to its factory baseline.</t>
  </si>
  <si>
    <t>main.js · resetTab()</t>
  </si>
  <si>
    <t>3253</t>
  </si>
  <si>
    <t>Reset all</t>
  </si>
  <si>
    <t>Restore every built-in module to original content.</t>
  </si>
  <si>
    <t>main.js · resetAll()</t>
  </si>
  <si>
    <t>Module Management</t>
  </si>
  <si>
    <t>Per-module visibility</t>
  </si>
  <si>
    <t>Show/hide module tabs; hidden modules are excluded from tabs and export.</t>
  </si>
  <si>
    <t>main.js · toggleModuleVisible()</t>
  </si>
  <si>
    <t>3254</t>
  </si>
  <si>
    <t>Board 3254 also mentions per-stream visibility, which is not separately implemented.</t>
  </si>
  <si>
    <t>Visibility saved per version</t>
  </si>
  <si>
    <t>Each client version remembers which modules are visible.</t>
  </si>
  <si>
    <t>Auto-switch on hide</t>
  </si>
  <si>
    <t>Hiding the active module moves to the first visible one.</t>
  </si>
  <si>
    <t>main.js · applyModuleVisibility()</t>
  </si>
  <si>
    <t>Document Export</t>
  </si>
  <si>
    <t>Generate preview</t>
  </si>
  <si>
    <t>Build an in-app document preview from the current view and options.</t>
  </si>
  <si>
    <t>genModal.js · buildDoc() / buildBusinessPreview()</t>
  </si>
  <si>
    <t>3255, 3256</t>
  </si>
  <si>
    <t>Word export (.docx)</t>
  </si>
  <si>
    <t>Download a branded Open Box .docx (System or Business content), generated with the docx library.</t>
  </si>
  <si>
    <t>genModal.js · downloadWord() → docxExport.js · generateDocx(); house style from obDocStyle.js</t>
  </si>
  <si>
    <t>3255</t>
  </si>
  <si>
    <t>PDF export (print)</t>
  </si>
  <si>
    <t>Open a print-ready styled page for Save-as-PDF.</t>
  </si>
  <si>
    <t>genModal.js · downloadPDF(); house style from obDocStyle.js · houseStyleCSS()</t>
  </si>
  <si>
    <t>3256</t>
  </si>
  <si>
    <t>Content section toggles</t>
  </si>
  <si>
    <t>Choose to include overview, activities, prerequisites, and associated screens.</t>
  </si>
  <si>
    <t>genModal.js · buildDoc(); docxExport.js · processBlock()</t>
  </si>
  <si>
    <t>Scope include filters</t>
  </si>
  <si>
    <t>Include/exclude Core, Custom, Out-of-Scope, and Untagged items in the document.</t>
  </si>
  <si>
    <t>genModal.js · getScopeIncludes(); docxExport.js · scopePass()</t>
  </si>
  <si>
    <t>Scope summary table</t>
  </si>
  <si>
    <t>Document opens with a table of process counts per scope (total vs included).</t>
  </si>
  <si>
    <t>genModal.js · buildScopeSummary(); docxExport.js · generateDocx()</t>
  </si>
  <si>
    <t>Current-tab or all-modules scope</t>
  </si>
  <si>
    <t>Export just the active module or all visible modules.</t>
  </si>
  <si>
    <t>genModal.js · getDocTabs() / businessDocTabs()</t>
  </si>
  <si>
    <t>Business document mode</t>
  </si>
  <si>
    <t>Business view exports overview/activities plus market variations, vertical detail, and standards.</t>
  </si>
  <si>
    <t>docxExport.js · generateBusinessDocx(); genModal.js · buildBusinessPreview()</t>
  </si>
  <si>
    <t>Detail Content</t>
  </si>
  <si>
    <t>Client notes</t>
  </si>
  <si>
    <t>Per-item free-text client note, editable in Edit Mode, shown in the panel and saved per version.</t>
  </si>
  <si>
    <t>clientNote.js / businessEditModal.js</t>
  </si>
  <si>
    <t>3249</t>
  </si>
  <si>
    <t>Scope / coverage badges</t>
  </si>
  <si>
    <t>Panel badges show item type, MRI/Business origin, and scope/coverage status.</t>
  </si>
  <si>
    <t>Scroll a long tab bar</t>
  </si>
  <si>
    <t>Tab bar scrolls horizontally when tabs exceed the viewport width so every module/stream stays reachable.</t>
  </si>
  <si>
    <t>main.css · .tab-bar (overflow-x)</t>
  </si>
  <si>
    <t>DevOps Backlog</t>
  </si>
  <si>
    <t>3220</t>
  </si>
  <si>
    <t>Implemented in CSS; was absent from the original feature list. | Tested 2026-08-18</t>
  </si>
  <si>
    <t>Placeholder modules flagged (awaiting SME review)</t>
  </si>
  <si>
    <t>Visibly flag provisional modules (Job Cost, Corporate AR, Budgeting &amp; Forecasting) as awaiting SME review so provisional content is not presented as final.</t>
  </si>
  <si>
    <t>— not yet implemented</t>
  </si>
  <si>
    <t>Not Started</t>
  </si>
  <si>
    <t>3230</t>
  </si>
  <si>
    <t>GAP: data files carry SME-review code comments, but there is no in-app flag.</t>
  </si>
  <si>
    <t>Multi-ERP (future)</t>
  </si>
  <si>
    <t>Select the target ERP</t>
  </si>
  <si>
    <t>Choose which ERP the System view + link set maps against, so the same business processes can map to different ERPs.</t>
  </si>
  <si>
    <t>— not implemented (future)</t>
  </si>
  <si>
    <t>N/A</t>
  </si>
  <si>
    <t>3257</t>
  </si>
  <si>
    <t>MoSCoW: Won’t (future). Single ALL_DATA today.</t>
  </si>
  <si>
    <t>Share a client version between users (export/import)</t>
  </si>
  <si>
    <t>Export a saved version to a portable file and import it on another machine/teammate to recreate it faithfully.</t>
  </si>
  <si>
    <t>3258</t>
  </si>
  <si>
    <t>MoSCoW: Won’t (future). CLAUDE.md confirms not built.</t>
  </si>
  <si>
    <t>Value-stream naming conventions with descriptions</t>
  </si>
  <si>
    <t>Ensure each value stream has a clear, standardised naming convention accompanied by a description that explains its scope and purpose.</t>
  </si>
  <si>
    <t>business/valueStreams.js · VALUE_STREAMS (label + note per stream; title + note per L2 group)</t>
  </si>
  <si>
    <t>New Requirement</t>
  </si>
  <si>
    <t>Story 3270 under Feature 3197 (CRE Powered Value Streams Taxonomy). Tested 2026-08-18. Confirmed Done 2026-09-14 — every value stream carries a label and a note, every L2 group a title and a note.</t>
  </si>
  <si>
    <t>Cross-market value-stream validation (US / UK)</t>
  </si>
  <si>
    <t>Confirm that value-stream names and structures are meaningful for both US and UK markets — e.g. "Recoveries" (UK) vs "Service Charges" (US) — and reconcile terminology where they diverge.</t>
  </si>
  <si>
    <t>Story 3271 under Feature 3197 (CRE Powered Value Streams Taxonomy). Board New as at 2026-09-15.</t>
  </si>
  <si>
    <t>Tagging methodology review and taxonomy alignment</t>
  </si>
  <si>
    <t>Review current scope and coverage tagging to confirm the most appropriate approach, including whether tags should align with the existing taxonomy structure or follow a separate scheme.</t>
  </si>
  <si>
    <t>Story 3272 under Feature 3205 (Item-Level System Coverage Tag). Board New as at 2026-09-15.</t>
  </si>
  <si>
    <t>Security &amp; Access Control</t>
  </si>
  <si>
    <t>Security features and responsibility boundaries</t>
  </si>
  <si>
    <t>Define who can change or edit the master copy, whether access should grant editing rights, and the responsibility boundaries between roles (e.g. consultant vs client vs admin).</t>
  </si>
  <si>
    <t>Story 3273 under Feature 3269 (Security &amp; Access Control). Board New as at 2026-09-15.</t>
  </si>
  <si>
    <t>Database persistence (replace localStorage)</t>
  </si>
  <si>
    <t>Move version and taxonomy data from browser localStorage to a database backend so that data persists across browsers, machines, and users.</t>
  </si>
  <si>
    <t>Story 3274 under Feature 3211 (Client Versions). Board New as at 2026-09-15.</t>
  </si>
  <si>
    <t>Version comparison (side-by-side diff)</t>
  </si>
  <si>
    <t>Side-by-side diff between two saved versions to see what changed from the baseline when tailoring for a client.</t>
  </si>
  <si>
    <t>Nice to Have</t>
  </si>
  <si>
    <t>Ready for Testing</t>
  </si>
  <si>
    <t>Future enhancement. Story 3281 under Feature 3211 (Client Versions). | Development complete, ready for testing.</t>
  </si>
  <si>
    <t>Guided discovery workflow</t>
  </si>
  <si>
    <t>Checklist or wizard walking a consultant through module selection, scope tagging, coverage mapping, and export.</t>
  </si>
  <si>
    <t>— not in the codebase yet (board: Active, 13 pts)</t>
  </si>
  <si>
    <t>In Progress</t>
  </si>
  <si>
    <t>Story 3282 under Feature 3195 (View Switcher &amp; Shared Shell). Board state Active (13 pts) as at 2026-09-15 — work started; nothing in the codebase yet.</t>
  </si>
  <si>
    <t>Duplicate a version</t>
  </si>
  <si>
    <t>Clone an existing client version as a starting point for a similar client.</t>
  </si>
  <si>
    <t>versionMenu.js · startDuplicate(); versions.js · duplicateVersion()</t>
  </si>
  <si>
    <t>Story 3283 under Feature 3211 (Client Versions). Tested 2026-08-18. Confirmed Done 2026-09-14 — Duplicate control on each card in the Versions panel.</t>
  </si>
  <si>
    <t>Richer export templates</t>
  </si>
  <si>
    <t>Branded documents with cover page, table of contents, and executive summary. Cover page and TOC delivered; executive summary outstanding.</t>
  </si>
  <si>
    <t>docxExport.js · buildBrandedDocument() (cover + TOC) — executive summary not built</t>
  </si>
  <si>
    <t>Partially delivered: cover page and auto table of contents built by the Open Box house-style export (70a941a, fa6d8fb); cover client name added 2026-09-14 (d349d98). Executive summary is the only outstanding element. Story 3284 under Feature 3213 (Word &amp; PDF Export).</t>
  </si>
  <si>
    <t>Progress dashboard</t>
  </si>
  <si>
    <t>In-app view showing discovery completion (% scoped, % mapped, % enriched) per module.</t>
  </si>
  <si>
    <t>Future enhancement. Story 3285 under Feature 3204 (Coverage Mapping Matrix).</t>
  </si>
  <si>
    <t>Attach evidence to processes</t>
  </si>
  <si>
    <t>Link screenshots, documents, or meeting notes to individual processes as supporting artefacts.</t>
  </si>
  <si>
    <t>Future enhancement. Story 3286 under Feature 3210 (Edit Mode Content Authoring).</t>
  </si>
  <si>
    <t>Search / filter versions</t>
  </si>
  <si>
    <t>Allow users to search or filter the versions list by name so they can quickly locate a saved client version when the list is long.</t>
  </si>
  <si>
    <t>3287</t>
  </si>
  <si>
    <t>Added 2026-08-18. Future enhancement — search/filter versions panel when version count grows.</t>
  </si>
  <si>
    <t>Discovery Baseline built-in version</t>
  </si>
  <si>
    <t>Default landing version for a new engagement: loads the full taxonomy and link set with every scope and coverage tag cleared, so discovery starts untagged. Read-only.</t>
  </si>
  <si>
    <t>main.js · loadVersion() / clearAllTags(); state.js · suppressAutoScope; versionMenu.js</t>
  </si>
  <si>
    <t>— Feature "Discovery Baseline template" (no story id in export)</t>
  </si>
  <si>
    <t>App-only when identified 2026-09-09; the 2026-09-14 board export raised a matching Feature ("Discovery Baseline template"). Still has no user story beneath it.</t>
  </si>
  <si>
    <t>Built-in version edit lock</t>
  </si>
  <si>
    <t>Save Changes is hidden and overwrite is blocked while a built-in baseline (Original / Discovery Baseline) is active, so factory content cannot be overwritten.</t>
  </si>
  <si>
    <t>state.js · BUILTIN_VERSIONS; main.js · updateSaveChangesBtn() / saveChangesToVersion()</t>
  </si>
  <si>
    <t>— none (story needed)</t>
  </si>
  <si>
    <t>App-only feature with no DevOps story — one should be raised. Identified 2026-09-09.</t>
  </si>
  <si>
    <t>Client name on cover from version title</t>
  </si>
  <si>
    <t>The document cover and footer take the client name from the saved version title; the built-in baselines fall back to a "Client Name" placeholder.</t>
  </si>
  <si>
    <t>genModal.js · coverClientName(); docxExport.js · buildBrandedDocument()</t>
  </si>
  <si>
    <t>Added 2026-09-14 (commit d349d98). Verified by unzipping the generated .docx — the cover runs and footer1.xml both carry the version title. No DevOps story yet.</t>
  </si>
  <si>
    <t>Original factory content baseline version</t>
  </si>
  <si>
    <t>Restores every built-in module to factory content with its original scope and coverage tags and the full seeded link set — the fully-linked reference template, as distinct from the untagged Discovery Baseline.</t>
  </si>
  <si>
    <t>main.js · loadVersion('original'); data/index.js · ORIGINAL_DATA; links.js · seedLinks()</t>
  </si>
  <si>
    <t>— Feature "Fully linked Original Factory Content template" (no story id in export)</t>
  </si>
  <si>
    <t>Added from the 2026-09-14 board export, which raised this as a Feature. Built but had no tracker row and still has no user story beneath the feature.</t>
  </si>
  <si>
    <t>Proposed Scope Tagging</t>
  </si>
  <si>
    <t>Lets Open Box record, on either side of the taxonomy, where discovery has identified potential value add beyond what the client does today — a flag orthogonal to the existing coverage/scope tags, so the current-state tag is preserved.</t>
  </si>
  <si>
    <t>src/components/proposalField.js, grid.js, businessView.js, genModal.js, docxExport.js; src/data/links.js</t>
  </si>
  <si>
    <t>3350</t>
  </si>
  <si>
    <t>Added 2026-10-01. DevOps Feature 3350. Implementation confirmed present by code inspection; core flow (propose a card, filter by Proposed Scope) smoke-tested in browser — no formal QA test pass run yet.</t>
  </si>
  <si>
    <t>Flag a value-stream process as Proposed Scope</t>
  </si>
  <si>
    <t>A Propose control on each Value Streams card in Edit Mode; flagging it does not change the coverage tag; the card shows both tags together; saved with the version.</t>
  </si>
  <si>
    <t>3352</t>
  </si>
  <si>
    <t>Added 2026-10-01. DevOps User Story 3352. Implementation confirmed present by code inspection; core flow (propose a card, filter by Proposed Scope) smoke-tested in browser — no formal QA test pass run yet.</t>
  </si>
  <si>
    <t>Flag an MRI PMX system process as Proposed Scope</t>
  </si>
  <si>
    <t>A Propose control on each System view card in Edit Mode; the existing scope tag (Core/Custom/Out of scope) is retained; saved with the version.</t>
  </si>
  <si>
    <t>3353</t>
  </si>
  <si>
    <t>Added 2026-10-01. DevOps User Story 3353. Implementation confirmed present by code inspection; core flow (propose a card, filter by Proposed Scope) smoke-tested in browser — no formal QA test pass run yet.</t>
  </si>
  <si>
    <t>Capture the value-add rationale for a proposal</t>
  </si>
  <si>
    <t>Both edit modals expose a Proposed Scope checkbox and rationale field; the rationale appears in the detail panel and generated document; unticking clears it.</t>
  </si>
  <si>
    <t>3354</t>
  </si>
  <si>
    <t>Added 2026-10-01. DevOps User Story 3354. Implementation confirmed present by code inspection; core flow (propose a card, filter by Proposed Scope) smoke-tested in browser — no formal QA test pass run yet.</t>
  </si>
  <si>
    <t>Distinguish a proposal from agreed client scope at a glance</t>
  </si>
  <si>
    <t>Proposals use a distinct marker and dashed treatment, differing by shape as well as colour for colour-blind legibility; the panel states the item is a recommendation, not agreed scope.</t>
  </si>
  <si>
    <t>3355</t>
  </si>
  <si>
    <t>Added 2026-10-01. DevOps User Story 3355. Implementation confirmed present by code inspection; core flow (propose a card, filter by Proposed Scope) smoke-tested in browser — no formal QA test pass run yet.</t>
  </si>
  <si>
    <t>Style the Proposed Scope tag to the Open Box brand palette</t>
  </si>
  <si>
    <t>The ✦ PROPOSED chip and related badges use the Open Box brand colour (CSS var(--prop) / var(--prop-accent)).</t>
  </si>
  <si>
    <t>3356</t>
  </si>
  <si>
    <t>Added 2026-10-01. DevOps User Story 3356. Implementation confirmed present by code inspection; core flow (propose a card, filter by Proposed Scope) smoke-tested in browser — no formal QA test pass run yet.</t>
  </si>
  <si>
    <t>Bulk-propose or clear proposals for a column</t>
  </si>
  <si>
    <t>The Tag all menu in both views offers Propose all / Clear proposals, applied to every process and sub-process in the column, leaving coverage/scope tags untouched; one undo step.</t>
  </si>
  <si>
    <t>3351</t>
  </si>
  <si>
    <t>Added 2026-10-01. DevOps User Story 3351. Implementation confirmed present by code inspection; core flow (propose a card, filter by Proposed Scope) smoke-tested in browser — no formal QA test pass run yet.</t>
  </si>
  <si>
    <t>Filter both views by Proposed Scope</t>
  </si>
  <si>
    <t>A Proposed Scope toggle in both view filter bars narrows the existing coverage/scope selection rather than replacing it. Verified: toggling it hides non-proposed items and shows "No items match the selected filters" on empty columns.</t>
  </si>
  <si>
    <t>3357</t>
  </si>
  <si>
    <t>Added 2026-10-01. DevOps User Story 3357. Implementation confirmed present by code inspection; core flow (propose a card, filter by Proposed Scope) smoke-tested in browser — no formal QA test pass run yet.</t>
  </si>
  <si>
    <t>Clear proposals when loading the Discovery Baseline</t>
  </si>
  <si>
    <t>Loading the Discovery Baseline clears item proposals and proposed links on both sides, leaving the agreed link set intact (main.js clearProp / link filter on load).</t>
  </si>
  <si>
    <t>3358</t>
  </si>
  <si>
    <t>Added 2026-10-01. DevOps User Story 3358. Implementation confirmed present by code inspection; core flow (propose a card, filter by Proposed Scope) smoke-tested in browser — no formal QA test pass run yet.</t>
  </si>
  <si>
    <t>Proposed Scope Propagation Across Links</t>
  </si>
  <si>
    <t>Carries a proposal across existing business↔system links so it is only captured once; derivation is deliberately one-hop only to avoid cascading through the link graph.</t>
  </si>
  <si>
    <t>3359</t>
  </si>
  <si>
    <t>Added 2026-10-01. DevOps Feature 3359. Implementation confirmed present by code inspection; core flow (propose a card, filter by Proposed Scope) smoke-tested in browser — no formal QA test pass run yet.</t>
  </si>
  <si>
    <t>Imply a proposal across links in both directions</t>
  </si>
  <si>
    <t>Flagging either side of a linked pair marks its linked counterparts as implied (derived); implied items render hollow/distinct from direct proposals, per links.js refreshDerivedProposals.</t>
  </si>
  <si>
    <t>3360</t>
  </si>
  <si>
    <t>Added 2026-10-01. DevOps User Story 3360. Implementation confirmed present by code inspection; core flow (propose a card, filter by Proposed Scope) smoke-tested in browser — no formal QA test pass run yet.</t>
  </si>
  <si>
    <t>Prevent proposal propagation from cascading</t>
  </si>
  <si>
    <t>Derivation reads only the directly-set `proposed` flag, never an implied one, so implication stops after one hop — confirmed in links.js comments and logic.</t>
  </si>
  <si>
    <t>3361</t>
  </si>
  <si>
    <t>Added 2026-10-01. DevOps User Story 3361. Implementation confirmed present by code inspection; core flow (propose a card, filter by Proposed Scope) smoke-tested in browser — no formal QA test pass run yet.</t>
  </si>
  <si>
    <t>Propose a link that does not exist today</t>
  </si>
  <si>
    <t>addLink() takes a `proposed` flag and toggleLinkProposed() exists; proposed links render dashed/distinct (map-chip-proposed, cell-flow-chip-proposed CSS).</t>
  </si>
  <si>
    <t>3362</t>
  </si>
  <si>
    <t>Added 2026-10-01. DevOps User Story 3362. Implementation confirmed present by code inspection; core flow (propose a card, filter by Proposed Scope) smoke-tested in browser — no formal QA test pass run yet.</t>
  </si>
  <si>
    <t>Keep proposed links out of agreed-scope derivation</t>
  </si>
  <si>
    <t>linkedSystemIds()/hasLink() filter out `proposed` links before deriving agreed scope (links.js), so a proposed link cannot lift an item out of auto out-of-scope.</t>
  </si>
  <si>
    <t>3363</t>
  </si>
  <si>
    <t>Added 2026-10-01. DevOps User Story 3363. Implementation confirmed present by code inspection; core flow (propose a card, filter by Proposed Scope) smoke-tested in browser — no formal QA test pass run yet.</t>
  </si>
  <si>
    <t>Value-Add Proposals Document</t>
  </si>
  <si>
    <t>Turns captured proposals into a client-facing section, excluded from generated documents unless explicitly included.</t>
  </si>
  <si>
    <t>3364</t>
  </si>
  <si>
    <t>Added 2026-10-01. DevOps Feature 3364. Implementation confirmed present by code inspection; core flow (propose a card, filter by Proposed Scope) smoke-tested in browser — no formal QA test pass run yet.</t>
  </si>
  <si>
    <t>Exclude proposals from generated documents by default</t>
  </si>
  <si>
    <t>The export options include a Proposed Scope checkbox defaulting to unticked (genModal.js / docxExport.js inclProposed = false); no proposal content appears unless it is ticked.</t>
  </si>
  <si>
    <t>3365</t>
  </si>
  <si>
    <t>Added 2026-10-01. DevOps User Story 3365. Implementation confirmed present by code inspection; core flow (propose a card, filter by Proposed Scope) smoke-tested in browser — no formal QA test pass run yet.</t>
  </si>
  <si>
    <t>Generate a Value-Add Proposals section</t>
  </si>
  <si>
    <t>With Proposed Scope ticked, the document gains a Value-Add Proposals section grouped by side/module, opening with a recommendations-not-agreed-scope disclaimer (docxExport.js proposalsBlocks()).</t>
  </si>
  <si>
    <t>3366</t>
  </si>
  <si>
    <t>Added 2026-10-01. DevOps User Story 3366. Implementation confirmed present by code inspection; core flow (propose a card, filter by Proposed Scope) smoke-tested in browser — no formal QA test pass run yet.</t>
  </si>
  <si>
    <t>Nest linked counterparts under each proposal</t>
  </si>
  <si>
    <t>Each proposal entry lists its linked counterparts as supporting detail, with proposed links marked as such in the list.</t>
  </si>
  <si>
    <t>3367</t>
  </si>
  <si>
    <t>Added 2026-10-01. DevOps User Story 3367. Implementation confirmed present by code inspection; core flow (propose a card, filter by Proposed Scope) smoke-tested in browser — no formal QA test pass run yet.</t>
  </si>
  <si>
    <t>DevOps Backlog ⇄ App Feature Comparison</t>
  </si>
  <si>
    <t>Board export 2026-09-15: 60 user stories, 224 story points — 8 Pending Feedback, 22 Resolved, 1 Active, 1 Development, 9 Closed, 1 Testing, 4 Analysis, 14 New. 46 of 60 progressed beyond New; 99 of 224 pts Resolved/Closed. 2 stories still read "New" although the tracker records them built. 4 app features have no story (Feature List #83-#86).</t>
  </si>
  <si>
    <t>A · Matched — board story ↔ existing feature</t>
  </si>
  <si>
    <t>DevOps ID</t>
  </si>
  <si>
    <t>Story title</t>
  </si>
  <si>
    <t>MoSCoW</t>
  </si>
  <si>
    <t>Board state</t>
  </si>
  <si>
    <t>Pts</t>
  </si>
  <si>
    <t>Matched feature(s)</t>
  </si>
  <si>
    <t>Actual (in code)</t>
  </si>
  <si>
    <t>Notes / discrepancy</t>
  </si>
  <si>
    <t>Switch between the three engagement views</t>
  </si>
  <si>
    <t>Must</t>
  </si>
  <si>
    <t>Pending Feedback</t>
  </si>
  <si>
    <t>Done (in code)</t>
  </si>
  <si>
    <t>Open a detail panel for any card</t>
  </si>
  <si>
    <t>Resolved</t>
  </si>
  <si>
    <t>Detail panel; Core activities &amp; overview</t>
  </si>
  <si>
    <t>3218</t>
  </si>
  <si>
    <t>Browse the Tab-Column-Card hierarchy</t>
  </si>
  <si>
    <t>Process/sub card grid; Module tab bar</t>
  </si>
  <si>
    <t>Expand and collapse sub-processes</t>
  </si>
  <si>
    <t>Should</t>
  </si>
  <si>
    <t>Development</t>
  </si>
  <si>
    <t>Browse CRE value streams</t>
  </si>
  <si>
    <t>CRE value-stream taxonomy; Value-stream tab bar</t>
  </si>
  <si>
    <t>See which cards still need enrichment</t>
  </si>
  <si>
    <t>Analysis</t>
  </si>
  <si>
    <t>View market variation for a process</t>
  </si>
  <si>
    <t>View vertical/sector detail for a process</t>
  </si>
  <si>
    <t>See standards and frameworks on a process</t>
  </si>
  <si>
    <t>Could</t>
  </si>
  <si>
    <t>Filter value streams by market</t>
  </si>
  <si>
    <t>Filter value streams by vertical</t>
  </si>
  <si>
    <t>Browse the MRI PMX system taxonomy</t>
  </si>
  <si>
    <t>Process/sub card grid; 9 built-in MRI modules</t>
  </si>
  <si>
    <t>See MRI setup detail for a system process</t>
  </si>
  <si>
    <t>MRI module reference; Setup prerequisites; Associated screens</t>
  </si>
  <si>
    <t>See linked counterparts in both directions</t>
  </si>
  <si>
    <t>Closed</t>
  </si>
  <si>
    <t>Board Closed as at 2026-09-15; implemented in code.</t>
  </si>
  <si>
    <t>3232</t>
  </si>
  <si>
    <t>Navigate to a linked counterpart</t>
  </si>
  <si>
    <t>Add a link in Edit Mode</t>
  </si>
  <si>
    <t>Inline link editor; Add-link drill-down combobox</t>
  </si>
  <si>
    <t>3234</t>
  </si>
  <si>
    <t>Remove a link in Edit Mode</t>
  </si>
  <si>
    <t>Inline link editor (remove)</t>
  </si>
  <si>
    <t>View the coverage mapping matrix</t>
  </si>
  <si>
    <t>Coverage matrix; Coverage colour coding</t>
  </si>
  <si>
    <t>Drill into a matrix cell</t>
  </si>
  <si>
    <t>Identify coverage gaps</t>
  </si>
  <si>
    <t>3238</t>
  </si>
  <si>
    <t>Tag a value-stream process with system coverage</t>
  </si>
  <si>
    <t>3239</t>
  </si>
  <si>
    <t>See context for a coverage tag on hover</t>
  </si>
  <si>
    <t>New</t>
  </si>
  <si>
    <t>Coverage colour coding (coverageTooltip)</t>
  </si>
  <si>
    <t>Tooltip exists in code (coverageTooltip); feature #26 Done. Board still New as at 2026-09-15 — needs moving.</t>
  </si>
  <si>
    <t>Be warned when a covered process is unlinked</t>
  </si>
  <si>
    <t>Filter value streams by system coverage</t>
  </si>
  <si>
    <t>3242</t>
  </si>
  <si>
    <t>Bulk-tag a column's coverage</t>
  </si>
  <si>
    <t>Coverage tags (Business) — bulk per domain</t>
  </si>
  <si>
    <t>Tag a system process's scope</t>
  </si>
  <si>
    <t>Auto-derive out-of-scope for unlinked processes</t>
  </si>
  <si>
    <t>Feature #37 Done (grid.js · effectiveScope). Board still New as at 2026-09-15 — needs moving.</t>
  </si>
  <si>
    <t>Bulk-tag a system column's scope</t>
  </si>
  <si>
    <t>Filter the system view by scope</t>
  </si>
  <si>
    <t>3247</t>
  </si>
  <si>
    <t>Add, edit and remove business items</t>
  </si>
  <si>
    <t>Add / Edit / Remove items (business)</t>
  </si>
  <si>
    <t>3248</t>
  </si>
  <si>
    <t>Add, edit and remove system items</t>
  </si>
  <si>
    <t>Add / Edit / Remove items (system)</t>
  </si>
  <si>
    <t>Capture a client note on an item</t>
  </si>
  <si>
    <t>Save a named client version</t>
  </si>
  <si>
    <t>Save named versions; Full-state snapshots</t>
  </si>
  <si>
    <t>Load, rename and delete versions</t>
  </si>
  <si>
    <t>Undo recent changes</t>
  </si>
  <si>
    <t>Reset to original content</t>
  </si>
  <si>
    <t>Reset current tab; Reset all</t>
  </si>
  <si>
    <t>Toggle module and stream visibility</t>
  </si>
  <si>
    <t>Per-module visibility; Visibility saved per version</t>
  </si>
  <si>
    <t>Partially built</t>
  </si>
  <si>
    <t>PARTIAL: module visibility built (#54-#56); per-stream (value-stream) visibility never implemented. Board Resolved as at 2026-09-15 — query whether the story was closed on partial delivery.</t>
  </si>
  <si>
    <t>Export to Word</t>
  </si>
  <si>
    <t>Word export; Scope summary; Business document mode</t>
  </si>
  <si>
    <t>Export to PDF</t>
  </si>
  <si>
    <t>B · On board only — not in the app baseline (add / assess)</t>
  </si>
  <si>
    <t>Action / note</t>
  </si>
  <si>
    <t>Implemented via CSS overflow; added to Feature List. Board Closed as at 2026-09-15 — reconciled.</t>
  </si>
  <si>
    <t>See placeholder modules flagged</t>
  </si>
  <si>
    <t>Not built</t>
  </si>
  <si>
    <t>GAP — no in-app flag on placeholder modules; only SME-review code comments. Added to Feature List as Not Started.</t>
  </si>
  <si>
    <t>Won't</t>
  </si>
  <si>
    <t>Future / multi-ERP. Single ALL_DATA today. Added to Feature List as Not Started.</t>
  </si>
  <si>
    <t>Share a client version between users</t>
  </si>
  <si>
    <t>Future export/import. Confirmed absent (CLAUDE.md). Added to Feature List as Not Started.</t>
  </si>
  <si>
    <t>C · Previously app-only — now have DevOps stories</t>
  </si>
  <si>
    <t>Note</t>
  </si>
  <si>
    <t>Story 3278 created. Board Pending Feedback as at 2026-09-15.</t>
  </si>
  <si>
    <t>Story 3279 created. Board Testing as at 2026-09-15.</t>
  </si>
  <si>
    <t>Story 3276 created. Board Analysis as at 2026-09-15.</t>
  </si>
  <si>
    <t>Story 3277 created. Board Resolved as at 2026-09-15.</t>
  </si>
  <si>
    <t>Story 3280 created. Board Resolved as at 2026-09-15.</t>
  </si>
  <si>
    <t>D · New requirements — added to DevOps board</t>
  </si>
  <si>
    <t>Suggested story title</t>
  </si>
  <si>
    <t>Action</t>
  </si>
  <si>
    <t>Ensure each value stream has a clear, standardised naming convention with a description of its scope and purpose.</t>
  </si>
  <si>
    <t>Standardise value-stream names and descriptions</t>
  </si>
  <si>
    <t>Added: Story 3270</t>
  </si>
  <si>
    <t>Confirm that value-stream names are meaningful for both US and UK markets (e.g. "Recoveries" vs "Service Charges") and reconcile terminology.</t>
  </si>
  <si>
    <t>Validate value-stream naming across US/UK markets</t>
  </si>
  <si>
    <t>Added: Story 3271</t>
  </si>
  <si>
    <t>Review scope/coverage tagging approach and confirm whether tags should align with the existing taxonomy structure.</t>
  </si>
  <si>
    <t>Review and align tagging methodology</t>
  </si>
  <si>
    <t>Added: Story 3272</t>
  </si>
  <si>
    <t>Define who can edit the master copy, whether access grants editing rights, and responsibility boundaries between roles.</t>
  </si>
  <si>
    <t>Define security model and access control</t>
  </si>
  <si>
    <t>Added: Story 3273</t>
  </si>
  <si>
    <t>Move data from browser localStorage to a database so it persists across browsers, machines, and users.</t>
  </si>
  <si>
    <t>Add database backend for persistence</t>
  </si>
  <si>
    <t>Added: Story 3274</t>
  </si>
  <si>
    <t>E · Nice to have — on the board, not in the delivered baseline</t>
  </si>
  <si>
    <t>3281</t>
  </si>
  <si>
    <t>Future enhancement. Feature List #76.</t>
  </si>
  <si>
    <t>3282</t>
  </si>
  <si>
    <t>Active</t>
  </si>
  <si>
    <t>Future enhancement. Feature List #77.</t>
  </si>
  <si>
    <t>3283</t>
  </si>
  <si>
    <t>Built: versionMenu.js · startDuplicate(). Feature List #78.</t>
  </si>
  <si>
    <t>3284</t>
  </si>
  <si>
    <t>Cover page + TOC built; executive summary outstanding. Feature List #79.</t>
  </si>
  <si>
    <t>3285</t>
  </si>
  <si>
    <t>Future enhancement. Feature List #80.</t>
  </si>
  <si>
    <t>3286</t>
  </si>
  <si>
    <t>Future enhancement. Feature List #81.</t>
  </si>
  <si>
    <t>—</t>
  </si>
  <si>
    <t>Future enhancement. Feature List #82.</t>
  </si>
  <si>
    <t>Feature &amp; QA Summary</t>
  </si>
  <si>
    <t>Development Status</t>
  </si>
  <si>
    <t>Count</t>
  </si>
  <si>
    <t>% of total</t>
  </si>
  <si>
    <t>Backlog</t>
  </si>
  <si>
    <t>Blocked</t>
  </si>
  <si>
    <t>Total</t>
  </si>
  <si>
    <t>Failed</t>
  </si>
  <si>
    <t>Backlog Comparison</t>
  </si>
  <si>
    <t>Board stories total</t>
  </si>
  <si>
    <t>Matched to a tracker feature</t>
  </si>
  <si>
    <t>On board only (section B)</t>
  </si>
  <si>
    <t>In app only (no story)</t>
  </si>
  <si>
    <t>New requirements still to raise</t>
  </si>
  <si>
    <t>Board "New" but built in code</t>
  </si>
  <si>
    <t>Status Key — allowed values</t>
  </si>
  <si>
    <t>Column</t>
  </si>
  <si>
    <t>Allowed values &amp; meaning</t>
  </si>
  <si>
    <t>Existing = already in the app (source-derived baseline).  DevOps Backlog = folded in from the board.  New Requirement = raised during review.  Nice to Have = future enhancement.</t>
  </si>
  <si>
    <t>Done = built in the codebase.  In Progress = under active development (board Active/Development, or partially built).  Not Started / Backlog = planned only.  Blocked = cannot proceed.</t>
  </si>
  <si>
    <t>Yes = QA complete.  No = not yet tested.  Partial = some testing done.  N/A = no QA needed.</t>
  </si>
  <si>
    <t>Not Tested · In Progress · Pass · Failed · Blocked — the outcome/progress of QA.</t>
  </si>
  <si>
    <t>Matched Azure DevOps story ID(s). Multiple IDs = feature spans several stories.</t>
  </si>
  <si>
    <t>Free text — discrepancies, defects, evidence links, tester, or context.</t>
  </si>
  <si>
    <t>Comparison sheet</t>
  </si>
  <si>
    <t>A = matched (board story ↔ feature); B = on board only; C = previously app-only, now has a story; D = new requirements added to the board; E = nice-to-have stories. "Actual (in code)" = what the source actually does, vs the board state. "Board state" and "Pts" come from the latest DevOps export (2026-09-15).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</si>
</sst>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color rgb="FFFFFFFF"/>
      <sz val="11"/>
    </font>
    <font>
      <color rgb="FF2A2A2A"/>
      <sz val="10"/>
    </font>
    <font>
      <b/>
      <color rgb="FF3A5A10"/>
      <sz val="10"/>
    </font>
    <font>
      <b/>
      <color rgb="FF2A2A2A"/>
      <sz val="10"/>
    </font>
    <font>
      <color rgb="FF777777"/>
      <sz val="9"/>
      <name val="Consolas"/>
    </font>
    <font>
      <color rgb="FF777777"/>
      <sz val="9"/>
    </font>
    <font>
      <i/>
      <color rgb="FF777777"/>
      <sz val="9"/>
    </font>
    <font>
      <color rgb="FFAAAAAA"/>
      <sz val="10"/>
    </font>
    <font>
      <b/>
      <color rgb="FF1A5FA8"/>
      <sz val="10"/>
    </font>
    <font>
      <sz val="10"/>
      <name val="Arial"/>
    </font>
    <font>
      <b/>
      <color rgb="FFFFFFFF"/>
      <sz val="15"/>
    </font>
    <font>
      <i/>
      <color rgb="FF555555"/>
      <sz val="10"/>
    </font>
    <font>
      <b/>
      <color rgb="FFFFFFFF"/>
      <sz val="12"/>
    </font>
    <font>
      <b/>
      <color rgb="FF333333"/>
      <sz val="10"/>
    </font>
    <font>
      <b/>
      <color rgb="FF3A5A8A"/>
      <sz val="9"/>
    </font>
    <font>
      <color rgb="FF2A2A2A"/>
      <sz val="9"/>
    </font>
    <font>
      <b/>
      <color rgb="FF888888"/>
      <sz val="9"/>
    </font>
    <font>
      <color rgb="FF4A7010"/>
      <sz val="9"/>
    </font>
    <font>
      <b/>
      <color rgb="FFB8860B"/>
      <sz val="9"/>
    </font>
    <font>
      <b/>
      <color rgb="FF4A7010"/>
      <sz val="9"/>
    </font>
    <font>
      <b/>
      <color rgb="FFA5342A"/>
      <sz val="9"/>
    </font>
    <font>
      <b/>
      <color rgb="FF2A2A2A"/>
      <sz val="9"/>
    </font>
    <font>
      <b/>
      <color rgb="FF8B2FC9"/>
      <sz val="9"/>
    </font>
    <font>
      <b/>
      <color rgb="FFFFFFFF"/>
      <sz val="14"/>
    </font>
    <font>
      <b/>
      <sz val="10"/>
    </font>
    <font>
      <sz val="10"/>
    </font>
    <font>
      <b/>
      <color rgb="FFFFFFFF"/>
      <sz val="10"/>
    </font>
  </fonts>
  <fills count="14">
    <fill>
      <patternFill patternType="none"/>
    </fill>
    <fill>
      <patternFill patternType="gray125"/>
    </fill>
    <fill>
      <patternFill patternType="solid">
        <fgColor rgb="FF2A2A2A"/>
      </patternFill>
    </fill>
    <fill>
      <patternFill patternType="solid">
        <fgColor rgb="FF8FB83A"/>
      </patternFill>
    </fill>
    <fill>
      <patternFill patternType="solid">
        <fgColor rgb="FF3A5A8A"/>
      </patternFill>
    </fill>
    <fill>
      <patternFill patternType="solid">
        <fgColor rgb="FFCCE5FF"/>
      </patternFill>
    </fill>
    <fill>
      <patternFill patternType="solid">
        <fgColor rgb="FFE3F0D4"/>
      </patternFill>
    </fill>
    <fill>
      <patternFill patternType="solid">
        <fgColor rgb="FFF7F7F4"/>
      </patternFill>
    </fill>
    <fill>
      <patternFill patternType="solid">
        <fgColor rgb="FFD4EDDA"/>
      </patternFill>
    </fill>
    <fill>
      <patternFill patternType="solid">
        <fgColor rgb="FFF5F9EC"/>
      </patternFill>
    </fill>
    <fill>
      <patternFill patternType="solid">
        <fgColor rgb="FFF6D6D0"/>
      </patternFill>
    </fill>
    <fill>
      <patternFill patternType="solid">
        <fgColor rgb="FFB8860B"/>
      </patternFill>
    </fill>
    <fill>
      <patternFill patternType="solid">
        <fgColor rgb="FF8B2FC9"/>
      </patternFill>
    </fill>
    <fill>
      <patternFill patternType="solid">
        <fgColor rgb="FFF0F0F0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2A2A2A"/>
      </bottom>
      <diagonal/>
    </border>
    <border>
      <left/>
      <right/>
      <top/>
      <bottom style="thin">
        <color rgb="FFE2E2E2"/>
      </bottom>
      <diagonal/>
    </border>
    <border>
      <left/>
      <right/>
      <top/>
      <bottom style="thin">
        <color rgb="FFBBBBBB"/>
      </bottom>
      <diagonal/>
    </border>
    <border>
      <left/>
      <right/>
      <top/>
      <bottom style="thin">
        <color rgb="FFEDEDED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EEEEEE"/>
      </bottom>
      <diagonal/>
    </border>
    <border>
      <left/>
      <right/>
      <top style="medium">
        <color rgb="FF2A2A2A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 inden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 indent="1"/>
    </xf>
    <xf numFmtId="0" fontId="4" fillId="7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left" vertical="top" wrapText="1" indent="1"/>
    </xf>
    <xf numFmtId="0" fontId="6" fillId="7" borderId="2" xfId="0" applyFont="1" applyFill="1" applyBorder="1" applyAlignment="1">
      <alignment horizontal="left" vertical="top" wrapText="1" indent="1"/>
    </xf>
    <xf numFmtId="0" fontId="4" fillId="7" borderId="2" xfId="0" applyFont="1" applyFill="1" applyBorder="1" applyAlignment="1">
      <alignment horizontal="left" vertical="top" wrapText="1" indent="1"/>
    </xf>
    <xf numFmtId="0" fontId="7" fillId="7" borderId="2" xfId="0" applyFont="1" applyFill="1" applyBorder="1" applyAlignment="1">
      <alignment horizontal="left" vertical="top" wrapText="1" indent="1"/>
    </xf>
    <xf numFmtId="0" fontId="8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top" wrapText="1" indent="1"/>
    </xf>
    <xf numFmtId="0" fontId="10" fillId="0" borderId="2" xfId="0" applyFont="1" applyBorder="1" applyAlignment="1">
      <alignment horizontal="left" vertical="top" wrapText="1" indent="1"/>
    </xf>
    <xf numFmtId="0" fontId="5" fillId="7" borderId="2" xfId="0" applyFont="1" applyFill="1" applyBorder="1" applyAlignment="1">
      <alignment horizontal="left" vertical="top" wrapText="1" indent="1"/>
    </xf>
    <xf numFmtId="0" fontId="11" fillId="0" borderId="2" xfId="0" applyFont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top" wrapText="1"/>
    </xf>
    <xf numFmtId="0" fontId="12" fillId="8" borderId="0" xfId="0" applyFont="1" applyFill="1" applyAlignment="1">
      <alignment vertical="top" wrapText="1"/>
    </xf>
    <xf numFmtId="0" fontId="13" fillId="2" borderId="0" xfId="0" applyFont="1" applyFill="1" applyAlignment="1">
      <alignment vertical="center" indent="1"/>
    </xf>
    <xf numFmtId="0" fontId="14" fillId="0" borderId="0" xfId="0" applyFont="1" applyAlignment="1">
      <alignment vertical="center" wrapText="1" indent="1"/>
    </xf>
    <xf numFmtId="0" fontId="15" fillId="3" borderId="0" xfId="0" applyFont="1" applyFill="1" applyAlignment="1">
      <alignment vertical="center" indent="1"/>
    </xf>
    <xf numFmtId="0" fontId="16" fillId="9" borderId="3" xfId="0" applyFont="1" applyFill="1" applyBorder="1" applyAlignment="1">
      <alignment horizontal="left" vertical="center" wrapText="1" indent="1"/>
    </xf>
    <xf numFmtId="0" fontId="17" fillId="0" borderId="4" xfId="0" applyFont="1" applyBorder="1" applyAlignment="1">
      <alignment horizontal="center" vertical="top" wrapText="1" indent="1"/>
    </xf>
    <xf numFmtId="0" fontId="18" fillId="0" borderId="4" xfId="0" applyFont="1" applyBorder="1" applyAlignment="1">
      <alignment horizontal="left" vertical="top" wrapText="1" indent="1"/>
    </xf>
    <xf numFmtId="0" fontId="18" fillId="0" borderId="4" xfId="0" applyFont="1" applyBorder="1" applyAlignment="1">
      <alignment horizontal="center" vertical="top" wrapText="1" indent="1"/>
    </xf>
    <xf numFmtId="0" fontId="19" fillId="0" borderId="4" xfId="0" applyFont="1" applyBorder="1" applyAlignment="1">
      <alignment horizontal="left" vertical="top" wrapText="1" indent="1"/>
    </xf>
    <xf numFmtId="0" fontId="20" fillId="6" borderId="4" xfId="0" applyFont="1" applyFill="1" applyBorder="1" applyAlignment="1">
      <alignment horizontal="left" vertical="top" wrapText="1" indent="1"/>
    </xf>
    <xf numFmtId="0" fontId="17" fillId="7" borderId="4" xfId="0" applyFont="1" applyFill="1" applyBorder="1" applyAlignment="1">
      <alignment horizontal="center" vertical="top" wrapText="1" indent="1"/>
    </xf>
    <xf numFmtId="0" fontId="18" fillId="7" borderId="4" xfId="0" applyFont="1" applyFill="1" applyBorder="1" applyAlignment="1">
      <alignment horizontal="left" vertical="top" wrapText="1" indent="1"/>
    </xf>
    <xf numFmtId="0" fontId="18" fillId="7" borderId="4" xfId="0" applyFont="1" applyFill="1" applyBorder="1" applyAlignment="1">
      <alignment horizontal="center" vertical="top" wrapText="1" indent="1"/>
    </xf>
    <xf numFmtId="0" fontId="19" fillId="7" borderId="4" xfId="0" applyFont="1" applyFill="1" applyBorder="1" applyAlignment="1">
      <alignment horizontal="left" vertical="top" wrapText="1" indent="1"/>
    </xf>
    <xf numFmtId="0" fontId="21" fillId="7" borderId="4" xfId="0" applyFont="1" applyFill="1" applyBorder="1" applyAlignment="1">
      <alignment horizontal="left" vertical="top" wrapText="1" indent="1"/>
    </xf>
    <xf numFmtId="0" fontId="21" fillId="0" borderId="4" xfId="0" applyFont="1" applyBorder="1" applyAlignment="1">
      <alignment horizontal="left" vertical="top" wrapText="1" indent="1"/>
    </xf>
    <xf numFmtId="0" fontId="22" fillId="7" borderId="4" xfId="0" applyFont="1" applyFill="1" applyBorder="1" applyAlignment="1">
      <alignment horizontal="left" vertical="top" wrapText="1" indent="1"/>
    </xf>
    <xf numFmtId="0" fontId="22" fillId="0" borderId="4" xfId="0" applyFont="1" applyBorder="1" applyAlignment="1">
      <alignment horizontal="left" vertical="top" wrapText="1" indent="1"/>
    </xf>
    <xf numFmtId="0" fontId="15" fillId="4" borderId="0" xfId="0" applyFont="1" applyFill="1" applyAlignment="1">
      <alignment vertical="center" indent="1"/>
    </xf>
    <xf numFmtId="0" fontId="22" fillId="6" borderId="4" xfId="0" applyFont="1" applyFill="1" applyBorder="1" applyAlignment="1">
      <alignment horizontal="left" vertical="top" wrapText="1" indent="1"/>
    </xf>
    <xf numFmtId="0" fontId="23" fillId="10" borderId="4" xfId="0" applyFont="1" applyFill="1" applyBorder="1" applyAlignment="1">
      <alignment horizontal="left" vertical="top" wrapText="1" indent="1"/>
    </xf>
    <xf numFmtId="0" fontId="15" fillId="11" borderId="0" xfId="0" applyFont="1" applyFill="1" applyAlignment="1">
      <alignment vertical="center" indent="1"/>
    </xf>
    <xf numFmtId="0" fontId="24" fillId="0" borderId="4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15" fillId="12" borderId="0" xfId="0" applyFont="1" applyFill="1" applyAlignment="1">
      <alignment vertical="center" indent="1"/>
    </xf>
    <xf numFmtId="0" fontId="18" fillId="13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vertical="top" wrapText="1" indent="1"/>
    </xf>
    <xf numFmtId="0" fontId="26" fillId="2" borderId="0" xfId="0" applyFont="1" applyFill="1" applyAlignment="1">
      <alignment vertical="center" indent="1"/>
    </xf>
    <xf numFmtId="0" fontId="3" fillId="4" borderId="0" xfId="0" applyFont="1" applyFill="1" applyAlignment="1">
      <alignment vertical="center" indent="1"/>
    </xf>
    <xf numFmtId="0" fontId="27" fillId="9" borderId="5" xfId="0" applyFont="1" applyFill="1" applyBorder="1" applyAlignment="1">
      <alignment indent="1"/>
    </xf>
    <xf numFmtId="0" fontId="28" fillId="0" borderId="6" xfId="0" applyFont="1" applyBorder="1" applyAlignment="1">
      <alignment horizontal="left" indent="1"/>
    </xf>
    <xf numFmtId="0" fontId="28" fillId="0" borderId="6" xfId="0" applyFont="1" applyBorder="1" applyAlignment="1">
      <alignment horizontal="center" indent="1"/>
    </xf>
    <xf numFmtId="9" fontId="28" fillId="0" borderId="6" xfId="0" applyNumberFormat="1" applyFont="1" applyBorder="1" applyAlignment="1">
      <alignment horizontal="center" indent="1"/>
    </xf>
    <xf numFmtId="0" fontId="27" fillId="9" borderId="7" xfId="0" applyFont="1" applyFill="1" applyBorder="1" applyAlignment="1">
      <alignment horizontal="left" indent="1"/>
    </xf>
    <xf numFmtId="0" fontId="27" fillId="9" borderId="7" xfId="0" applyFont="1" applyFill="1" applyBorder="1" applyAlignment="1">
      <alignment horizontal="center" indent="1"/>
    </xf>
    <xf numFmtId="9" fontId="27" fillId="9" borderId="7" xfId="0" applyNumberFormat="1" applyFont="1" applyFill="1" applyBorder="1" applyAlignment="1">
      <alignment horizontal="center" indent="1"/>
    </xf>
    <xf numFmtId="0" fontId="3" fillId="3" borderId="0" xfId="0" applyFont="1" applyFill="1" applyAlignment="1">
      <alignment vertical="center" indent="1"/>
    </xf>
    <xf numFmtId="0" fontId="29" fillId="3" borderId="0" xfId="0" applyFont="1" applyFill="1" applyAlignment="1">
      <alignment vertical="top" indent="1"/>
    </xf>
    <xf numFmtId="0" fontId="29" fillId="3" borderId="0" xfId="0" applyFont="1" applyFill="1" applyAlignment="1">
      <alignment vertical="top" wrapText="1" indent="1"/>
    </xf>
    <xf numFmtId="0" fontId="5" fillId="0" borderId="0" xfId="0" applyFont="1" applyAlignment="1">
      <alignment vertical="top" indent="1"/>
    </xf>
    <xf numFmtId="0" fontId="4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Views>
    <sheetView workbookViewId="0" zoomScale="100" zoomScaleNormal="10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30" customWidth="1"/>
    <col min="4" max="4" width="56" customWidth="1"/>
    <col min="5" max="5" width="30" customWidth="1"/>
    <col min="6" max="6" width="15" customWidth="1"/>
    <col min="7" max="7" width="13" customWidth="1"/>
    <col min="8" max="8" width="10" customWidth="1"/>
    <col min="9" max="9" width="13" customWidth="1"/>
    <col min="10" max="10" width="14" customWidth="1"/>
    <col min="11" max="11" width="40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6" customHeight="1" x14ac:dyDescent="0.25"/>
    <row r="4" ht="24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x14ac:dyDescent="0.25">
      <c r="A5" s="5">
        <v>1</v>
      </c>
      <c r="B5" s="6" t="s">
        <v>13</v>
      </c>
      <c r="C5" s="7" t="s">
        <v>14</v>
      </c>
      <c r="D5" s="8" t="s">
        <v>15</v>
      </c>
      <c r="E5" s="9" t="s">
        <v>16</v>
      </c>
      <c r="F5" s="10" t="s">
        <v>17</v>
      </c>
      <c r="G5" s="11" t="s">
        <v>18</v>
      </c>
      <c r="H5" s="10" t="s">
        <v>19</v>
      </c>
      <c r="I5" s="10" t="s">
        <v>20</v>
      </c>
      <c r="J5" s="12" t="s">
        <v>21</v>
      </c>
      <c r="K5" s="13" t="s">
        <v>22</v>
      </c>
    </row>
    <row r="6" spans="1:11" x14ac:dyDescent="0.25">
      <c r="A6" s="14">
        <v>2</v>
      </c>
      <c r="B6" s="15" t="s">
        <v>13</v>
      </c>
      <c r="C6" s="16" t="s">
        <v>23</v>
      </c>
      <c r="D6" s="17" t="s">
        <v>24</v>
      </c>
      <c r="E6" s="18" t="s">
        <v>25</v>
      </c>
      <c r="F6" s="10" t="s">
        <v>17</v>
      </c>
      <c r="G6" s="11" t="s">
        <v>18</v>
      </c>
      <c r="H6" s="10" t="s">
        <v>19</v>
      </c>
      <c r="I6" s="10" t="s">
        <v>20</v>
      </c>
      <c r="J6" s="19">
        <v>3278</v>
      </c>
      <c r="K6" s="20" t="s">
        <v>22</v>
      </c>
    </row>
    <row r="7" spans="1:11" x14ac:dyDescent="0.25">
      <c r="A7" s="5">
        <v>3</v>
      </c>
      <c r="B7" s="21" t="s">
        <v>13</v>
      </c>
      <c r="C7" s="7" t="s">
        <v>26</v>
      </c>
      <c r="D7" s="8" t="s">
        <v>27</v>
      </c>
      <c r="E7" s="9" t="s">
        <v>28</v>
      </c>
      <c r="F7" s="10" t="s">
        <v>17</v>
      </c>
      <c r="G7" s="11" t="s">
        <v>18</v>
      </c>
      <c r="H7" s="10" t="s">
        <v>29</v>
      </c>
      <c r="I7" s="10" t="s">
        <v>30</v>
      </c>
      <c r="J7" s="12" t="s">
        <v>31</v>
      </c>
      <c r="K7" s="13" t="s">
        <v>32</v>
      </c>
    </row>
    <row r="8" spans="1:11" x14ac:dyDescent="0.25">
      <c r="A8" s="14">
        <v>4</v>
      </c>
      <c r="B8" s="15" t="s">
        <v>13</v>
      </c>
      <c r="C8" s="16" t="s">
        <v>33</v>
      </c>
      <c r="D8" s="17" t="s">
        <v>34</v>
      </c>
      <c r="E8" s="18" t="s">
        <v>35</v>
      </c>
      <c r="F8" s="10" t="s">
        <v>17</v>
      </c>
      <c r="G8" s="11" t="s">
        <v>18</v>
      </c>
      <c r="H8" s="10" t="s">
        <v>19</v>
      </c>
      <c r="I8" s="10" t="s">
        <v>20</v>
      </c>
      <c r="J8" s="19" t="s">
        <v>36</v>
      </c>
      <c r="K8" s="20" t="s">
        <v>22</v>
      </c>
    </row>
    <row r="9" spans="1:11" x14ac:dyDescent="0.25">
      <c r="A9" s="5">
        <v>5</v>
      </c>
      <c r="B9" s="21" t="s">
        <v>13</v>
      </c>
      <c r="C9" s="7" t="s">
        <v>37</v>
      </c>
      <c r="D9" s="8" t="s">
        <v>38</v>
      </c>
      <c r="E9" s="9" t="s">
        <v>39</v>
      </c>
      <c r="F9" s="10" t="s">
        <v>17</v>
      </c>
      <c r="G9" s="11" t="s">
        <v>18</v>
      </c>
      <c r="H9" s="10" t="s">
        <v>19</v>
      </c>
      <c r="I9" s="10" t="s">
        <v>20</v>
      </c>
      <c r="J9" s="12" t="s">
        <v>40</v>
      </c>
      <c r="K9" s="13" t="s">
        <v>22</v>
      </c>
    </row>
    <row r="10" spans="1:11" x14ac:dyDescent="0.25">
      <c r="A10" s="14">
        <v>6</v>
      </c>
      <c r="B10" s="15" t="s">
        <v>13</v>
      </c>
      <c r="C10" s="16" t="s">
        <v>41</v>
      </c>
      <c r="D10" s="17" t="s">
        <v>42</v>
      </c>
      <c r="E10" s="18" t="s">
        <v>43</v>
      </c>
      <c r="F10" s="10" t="s">
        <v>17</v>
      </c>
      <c r="G10" s="11" t="s">
        <v>18</v>
      </c>
      <c r="H10" s="10" t="s">
        <v>19</v>
      </c>
      <c r="I10" s="10" t="s">
        <v>20</v>
      </c>
      <c r="J10" s="19" t="s">
        <v>44</v>
      </c>
      <c r="K10" s="20" t="s">
        <v>22</v>
      </c>
    </row>
    <row r="11" spans="1:11" x14ac:dyDescent="0.25">
      <c r="A11" s="5">
        <v>7</v>
      </c>
      <c r="B11" s="21" t="s">
        <v>13</v>
      </c>
      <c r="C11" s="7" t="s">
        <v>45</v>
      </c>
      <c r="D11" s="8" t="s">
        <v>46</v>
      </c>
      <c r="E11" s="9" t="s">
        <v>47</v>
      </c>
      <c r="F11" s="10" t="s">
        <v>17</v>
      </c>
      <c r="G11" s="11" t="s">
        <v>18</v>
      </c>
      <c r="H11" s="10" t="s">
        <v>19</v>
      </c>
      <c r="I11" s="10" t="s">
        <v>20</v>
      </c>
      <c r="J11" s="12">
        <v>3279</v>
      </c>
      <c r="K11" s="13" t="s">
        <v>22</v>
      </c>
    </row>
    <row r="12" spans="1:11" x14ac:dyDescent="0.25">
      <c r="A12" s="14">
        <v>8</v>
      </c>
      <c r="B12" s="22" t="s">
        <v>48</v>
      </c>
      <c r="C12" s="16" t="s">
        <v>49</v>
      </c>
      <c r="D12" s="17" t="s">
        <v>50</v>
      </c>
      <c r="E12" s="18" t="s">
        <v>51</v>
      </c>
      <c r="F12" s="10" t="s">
        <v>17</v>
      </c>
      <c r="G12" s="11" t="s">
        <v>18</v>
      </c>
      <c r="H12" s="10" t="s">
        <v>29</v>
      </c>
      <c r="I12" s="10" t="s">
        <v>30</v>
      </c>
      <c r="J12" s="19" t="s">
        <v>31</v>
      </c>
      <c r="K12" s="20" t="s">
        <v>32</v>
      </c>
    </row>
    <row r="13" spans="1:11" x14ac:dyDescent="0.25">
      <c r="A13" s="5">
        <v>9</v>
      </c>
      <c r="B13" s="21" t="s">
        <v>48</v>
      </c>
      <c r="C13" s="7" t="s">
        <v>52</v>
      </c>
      <c r="D13" s="8" t="s">
        <v>53</v>
      </c>
      <c r="E13" s="9" t="s">
        <v>54</v>
      </c>
      <c r="F13" s="10" t="s">
        <v>17</v>
      </c>
      <c r="G13" s="11" t="s">
        <v>18</v>
      </c>
      <c r="H13" s="10" t="s">
        <v>19</v>
      </c>
      <c r="I13" s="10" t="s">
        <v>20</v>
      </c>
      <c r="J13" s="12" t="s">
        <v>55</v>
      </c>
      <c r="K13" s="13" t="s">
        <v>22</v>
      </c>
    </row>
    <row r="14" spans="1:11" x14ac:dyDescent="0.25">
      <c r="A14" s="14">
        <v>10</v>
      </c>
      <c r="B14" s="15" t="s">
        <v>48</v>
      </c>
      <c r="C14" s="16" t="s">
        <v>56</v>
      </c>
      <c r="D14" s="17" t="s">
        <v>57</v>
      </c>
      <c r="E14" s="18" t="s">
        <v>54</v>
      </c>
      <c r="F14" s="10" t="s">
        <v>17</v>
      </c>
      <c r="G14" s="11" t="s">
        <v>18</v>
      </c>
      <c r="H14" s="10" t="s">
        <v>19</v>
      </c>
      <c r="I14" s="10" t="s">
        <v>20</v>
      </c>
      <c r="J14" s="19" t="s">
        <v>55</v>
      </c>
      <c r="K14" s="20" t="s">
        <v>22</v>
      </c>
    </row>
    <row r="15" spans="1:11" x14ac:dyDescent="0.25">
      <c r="A15" s="5">
        <v>11</v>
      </c>
      <c r="B15" s="21" t="s">
        <v>48</v>
      </c>
      <c r="C15" s="7" t="s">
        <v>58</v>
      </c>
      <c r="D15" s="8" t="s">
        <v>59</v>
      </c>
      <c r="E15" s="9" t="s">
        <v>54</v>
      </c>
      <c r="F15" s="10" t="s">
        <v>17</v>
      </c>
      <c r="G15" s="11" t="s">
        <v>18</v>
      </c>
      <c r="H15" s="10" t="s">
        <v>19</v>
      </c>
      <c r="I15" s="10" t="s">
        <v>20</v>
      </c>
      <c r="J15" s="12" t="s">
        <v>55</v>
      </c>
      <c r="K15" s="13" t="s">
        <v>22</v>
      </c>
    </row>
    <row r="16" spans="1:11" x14ac:dyDescent="0.25">
      <c r="A16" s="14">
        <v>12</v>
      </c>
      <c r="B16" s="15" t="s">
        <v>48</v>
      </c>
      <c r="C16" s="16" t="s">
        <v>60</v>
      </c>
      <c r="D16" s="17" t="s">
        <v>61</v>
      </c>
      <c r="E16" s="18" t="s">
        <v>54</v>
      </c>
      <c r="F16" s="10" t="s">
        <v>17</v>
      </c>
      <c r="G16" s="11" t="s">
        <v>18</v>
      </c>
      <c r="H16" s="10" t="s">
        <v>19</v>
      </c>
      <c r="I16" s="10" t="s">
        <v>20</v>
      </c>
      <c r="J16" s="19" t="s">
        <v>62</v>
      </c>
      <c r="K16" s="20" t="s">
        <v>22</v>
      </c>
    </row>
    <row r="17" spans="1:11" x14ac:dyDescent="0.25">
      <c r="A17" s="5">
        <v>13</v>
      </c>
      <c r="B17" s="21" t="s">
        <v>48</v>
      </c>
      <c r="C17" s="7" t="s">
        <v>63</v>
      </c>
      <c r="D17" s="8" t="s">
        <v>64</v>
      </c>
      <c r="E17" s="9" t="s">
        <v>65</v>
      </c>
      <c r="F17" s="10" t="s">
        <v>17</v>
      </c>
      <c r="G17" s="11" t="s">
        <v>18</v>
      </c>
      <c r="H17" s="10" t="s">
        <v>29</v>
      </c>
      <c r="I17" s="10" t="s">
        <v>30</v>
      </c>
      <c r="J17" s="12" t="s">
        <v>66</v>
      </c>
      <c r="K17" s="13" t="s">
        <v>32</v>
      </c>
    </row>
    <row r="18" spans="1:11" x14ac:dyDescent="0.25">
      <c r="A18" s="14">
        <v>14</v>
      </c>
      <c r="B18" s="22" t="s">
        <v>67</v>
      </c>
      <c r="C18" s="16" t="s">
        <v>68</v>
      </c>
      <c r="D18" s="17" t="s">
        <v>69</v>
      </c>
      <c r="E18" s="18" t="s">
        <v>70</v>
      </c>
      <c r="F18" s="10" t="s">
        <v>17</v>
      </c>
      <c r="G18" s="11" t="s">
        <v>18</v>
      </c>
      <c r="H18" s="10" t="s">
        <v>19</v>
      </c>
      <c r="I18" s="10" t="s">
        <v>20</v>
      </c>
      <c r="J18" s="19" t="s">
        <v>36</v>
      </c>
      <c r="K18" s="20" t="s">
        <v>22</v>
      </c>
    </row>
    <row r="19" spans="1:11" x14ac:dyDescent="0.25">
      <c r="A19" s="5">
        <v>15</v>
      </c>
      <c r="B19" s="21" t="s">
        <v>67</v>
      </c>
      <c r="C19" s="7" t="s">
        <v>71</v>
      </c>
      <c r="D19" s="8" t="s">
        <v>72</v>
      </c>
      <c r="E19" s="9" t="s">
        <v>73</v>
      </c>
      <c r="F19" s="10" t="s">
        <v>17</v>
      </c>
      <c r="G19" s="11" t="s">
        <v>18</v>
      </c>
      <c r="H19" s="10" t="s">
        <v>19</v>
      </c>
      <c r="I19" s="10" t="s">
        <v>20</v>
      </c>
      <c r="J19" s="12" t="s">
        <v>74</v>
      </c>
      <c r="K19" s="13" t="s">
        <v>22</v>
      </c>
    </row>
    <row r="20" spans="1:11" x14ac:dyDescent="0.25">
      <c r="A20" s="14">
        <v>16</v>
      </c>
      <c r="B20" s="15" t="s">
        <v>67</v>
      </c>
      <c r="C20" s="16" t="s">
        <v>75</v>
      </c>
      <c r="D20" s="17" t="s">
        <v>76</v>
      </c>
      <c r="E20" s="18" t="s">
        <v>77</v>
      </c>
      <c r="F20" s="10" t="s">
        <v>17</v>
      </c>
      <c r="G20" s="11" t="s">
        <v>18</v>
      </c>
      <c r="H20" s="10" t="s">
        <v>19</v>
      </c>
      <c r="I20" s="10" t="s">
        <v>20</v>
      </c>
      <c r="J20" s="19" t="s">
        <v>78</v>
      </c>
      <c r="K20" s="20" t="s">
        <v>22</v>
      </c>
    </row>
    <row r="21" spans="1:11" x14ac:dyDescent="0.25">
      <c r="A21" s="5">
        <v>17</v>
      </c>
      <c r="B21" s="21" t="s">
        <v>67</v>
      </c>
      <c r="C21" s="7" t="s">
        <v>79</v>
      </c>
      <c r="D21" s="8" t="s">
        <v>80</v>
      </c>
      <c r="E21" s="9" t="s">
        <v>77</v>
      </c>
      <c r="F21" s="10" t="s">
        <v>17</v>
      </c>
      <c r="G21" s="11" t="s">
        <v>18</v>
      </c>
      <c r="H21" s="10" t="s">
        <v>19</v>
      </c>
      <c r="I21" s="10" t="s">
        <v>20</v>
      </c>
      <c r="J21" s="12" t="s">
        <v>81</v>
      </c>
      <c r="K21" s="13" t="s">
        <v>22</v>
      </c>
    </row>
    <row r="22" spans="1:11" x14ac:dyDescent="0.25">
      <c r="A22" s="14">
        <v>18</v>
      </c>
      <c r="B22" s="15" t="s">
        <v>67</v>
      </c>
      <c r="C22" s="16" t="s">
        <v>82</v>
      </c>
      <c r="D22" s="17" t="s">
        <v>83</v>
      </c>
      <c r="E22" s="18" t="s">
        <v>84</v>
      </c>
      <c r="F22" s="10" t="s">
        <v>17</v>
      </c>
      <c r="G22" s="11" t="s">
        <v>18</v>
      </c>
      <c r="H22" s="10" t="s">
        <v>19</v>
      </c>
      <c r="I22" s="10" t="s">
        <v>20</v>
      </c>
      <c r="J22" s="19" t="s">
        <v>85</v>
      </c>
      <c r="K22" s="20" t="s">
        <v>22</v>
      </c>
    </row>
    <row r="23" spans="1:11" x14ac:dyDescent="0.25">
      <c r="A23" s="5">
        <v>19</v>
      </c>
      <c r="B23" s="21" t="s">
        <v>67</v>
      </c>
      <c r="C23" s="7" t="s">
        <v>86</v>
      </c>
      <c r="D23" s="8" t="s">
        <v>87</v>
      </c>
      <c r="E23" s="9" t="s">
        <v>88</v>
      </c>
      <c r="F23" s="10" t="s">
        <v>17</v>
      </c>
      <c r="G23" s="11" t="s">
        <v>18</v>
      </c>
      <c r="H23" s="10" t="s">
        <v>19</v>
      </c>
      <c r="I23" s="10" t="s">
        <v>20</v>
      </c>
      <c r="J23" s="12" t="s">
        <v>89</v>
      </c>
      <c r="K23" s="13" t="s">
        <v>22</v>
      </c>
    </row>
    <row r="24" spans="1:11" x14ac:dyDescent="0.25">
      <c r="A24" s="14">
        <v>20</v>
      </c>
      <c r="B24" s="15" t="s">
        <v>67</v>
      </c>
      <c r="C24" s="16" t="s">
        <v>90</v>
      </c>
      <c r="D24" s="17" t="s">
        <v>91</v>
      </c>
      <c r="E24" s="18" t="s">
        <v>92</v>
      </c>
      <c r="F24" s="10" t="s">
        <v>17</v>
      </c>
      <c r="G24" s="11" t="s">
        <v>18</v>
      </c>
      <c r="H24" s="10" t="s">
        <v>19</v>
      </c>
      <c r="I24" s="10" t="s">
        <v>20</v>
      </c>
      <c r="J24" s="19" t="s">
        <v>93</v>
      </c>
      <c r="K24" s="20" t="s">
        <v>22</v>
      </c>
    </row>
    <row r="25" spans="1:11" x14ac:dyDescent="0.25">
      <c r="A25" s="5">
        <v>21</v>
      </c>
      <c r="B25" s="21" t="s">
        <v>67</v>
      </c>
      <c r="C25" s="7" t="s">
        <v>94</v>
      </c>
      <c r="D25" s="8" t="s">
        <v>95</v>
      </c>
      <c r="E25" s="9" t="s">
        <v>96</v>
      </c>
      <c r="F25" s="10" t="s">
        <v>17</v>
      </c>
      <c r="G25" s="11" t="s">
        <v>18</v>
      </c>
      <c r="H25" s="10" t="s">
        <v>19</v>
      </c>
      <c r="I25" s="10" t="s">
        <v>20</v>
      </c>
      <c r="J25" s="12" t="s">
        <v>97</v>
      </c>
      <c r="K25" s="13" t="s">
        <v>22</v>
      </c>
    </row>
    <row r="26" spans="1:11" x14ac:dyDescent="0.25">
      <c r="A26" s="14">
        <v>22</v>
      </c>
      <c r="B26" s="15" t="s">
        <v>67</v>
      </c>
      <c r="C26" s="16" t="s">
        <v>98</v>
      </c>
      <c r="D26" s="17" t="s">
        <v>99</v>
      </c>
      <c r="E26" s="18" t="s">
        <v>77</v>
      </c>
      <c r="F26" s="10" t="s">
        <v>17</v>
      </c>
      <c r="G26" s="11" t="s">
        <v>18</v>
      </c>
      <c r="H26" s="10" t="s">
        <v>19</v>
      </c>
      <c r="I26" s="10" t="s">
        <v>20</v>
      </c>
      <c r="J26" s="19" t="s">
        <v>36</v>
      </c>
      <c r="K26" s="20" t="s">
        <v>22</v>
      </c>
    </row>
    <row r="27" spans="1:11" x14ac:dyDescent="0.25">
      <c r="A27" s="5">
        <v>23</v>
      </c>
      <c r="B27" s="6" t="s">
        <v>100</v>
      </c>
      <c r="C27" s="7" t="s">
        <v>101</v>
      </c>
      <c r="D27" s="8" t="s">
        <v>102</v>
      </c>
      <c r="E27" s="9" t="s">
        <v>103</v>
      </c>
      <c r="F27" s="10" t="s">
        <v>17</v>
      </c>
      <c r="G27" s="11" t="s">
        <v>18</v>
      </c>
      <c r="H27" s="10" t="s">
        <v>19</v>
      </c>
      <c r="I27" s="10" t="s">
        <v>20</v>
      </c>
      <c r="J27" s="12" t="s">
        <v>104</v>
      </c>
      <c r="K27" s="13" t="s">
        <v>22</v>
      </c>
    </row>
    <row r="28" spans="1:11" x14ac:dyDescent="0.25">
      <c r="A28" s="14">
        <v>24</v>
      </c>
      <c r="B28" s="15" t="s">
        <v>100</v>
      </c>
      <c r="C28" s="16" t="s">
        <v>105</v>
      </c>
      <c r="D28" s="17" t="s">
        <v>106</v>
      </c>
      <c r="E28" s="18" t="s">
        <v>107</v>
      </c>
      <c r="F28" s="10" t="s">
        <v>17</v>
      </c>
      <c r="G28" s="11" t="s">
        <v>18</v>
      </c>
      <c r="H28" s="10" t="s">
        <v>19</v>
      </c>
      <c r="I28" s="10" t="s">
        <v>20</v>
      </c>
      <c r="J28" s="19" t="s">
        <v>108</v>
      </c>
      <c r="K28" s="20" t="s">
        <v>22</v>
      </c>
    </row>
    <row r="29" spans="1:11" x14ac:dyDescent="0.25">
      <c r="A29" s="5">
        <v>25</v>
      </c>
      <c r="B29" s="21" t="s">
        <v>100</v>
      </c>
      <c r="C29" s="7" t="s">
        <v>109</v>
      </c>
      <c r="D29" s="8" t="s">
        <v>110</v>
      </c>
      <c r="E29" s="9" t="s">
        <v>111</v>
      </c>
      <c r="F29" s="10" t="s">
        <v>17</v>
      </c>
      <c r="G29" s="11" t="s">
        <v>18</v>
      </c>
      <c r="H29" s="10" t="s">
        <v>29</v>
      </c>
      <c r="I29" s="10" t="s">
        <v>30</v>
      </c>
      <c r="J29" s="12" t="s">
        <v>112</v>
      </c>
      <c r="K29" s="13" t="s">
        <v>113</v>
      </c>
    </row>
    <row r="30" spans="1:11" x14ac:dyDescent="0.25">
      <c r="A30" s="14">
        <v>26</v>
      </c>
      <c r="B30" s="15" t="s">
        <v>100</v>
      </c>
      <c r="C30" s="16" t="s">
        <v>114</v>
      </c>
      <c r="D30" s="17" t="s">
        <v>115</v>
      </c>
      <c r="E30" s="18" t="s">
        <v>116</v>
      </c>
      <c r="F30" s="10" t="s">
        <v>17</v>
      </c>
      <c r="G30" s="11" t="s">
        <v>18</v>
      </c>
      <c r="H30" s="10" t="s">
        <v>19</v>
      </c>
      <c r="I30" s="10" t="s">
        <v>20</v>
      </c>
      <c r="J30" s="19" t="s">
        <v>117</v>
      </c>
      <c r="K30" s="20" t="s">
        <v>22</v>
      </c>
    </row>
    <row r="31" spans="1:11" x14ac:dyDescent="0.25">
      <c r="A31" s="5">
        <v>27</v>
      </c>
      <c r="B31" s="21" t="s">
        <v>100</v>
      </c>
      <c r="C31" s="7" t="s">
        <v>118</v>
      </c>
      <c r="D31" s="8" t="s">
        <v>119</v>
      </c>
      <c r="E31" s="9" t="s">
        <v>120</v>
      </c>
      <c r="F31" s="10" t="s">
        <v>17</v>
      </c>
      <c r="G31" s="11" t="s">
        <v>18</v>
      </c>
      <c r="H31" s="10" t="s">
        <v>29</v>
      </c>
      <c r="I31" s="10" t="s">
        <v>30</v>
      </c>
      <c r="J31" s="12" t="s">
        <v>121</v>
      </c>
      <c r="K31" s="13" t="s">
        <v>113</v>
      </c>
    </row>
    <row r="32" spans="1:11" x14ac:dyDescent="0.25">
      <c r="A32" s="14">
        <v>28</v>
      </c>
      <c r="B32" s="22" t="s">
        <v>122</v>
      </c>
      <c r="C32" s="16" t="s">
        <v>123</v>
      </c>
      <c r="D32" s="17" t="s">
        <v>124</v>
      </c>
      <c r="E32" s="18" t="s">
        <v>125</v>
      </c>
      <c r="F32" s="10" t="s">
        <v>17</v>
      </c>
      <c r="G32" s="11" t="s">
        <v>18</v>
      </c>
      <c r="H32" s="10" t="s">
        <v>19</v>
      </c>
      <c r="I32" s="10" t="s">
        <v>20</v>
      </c>
      <c r="J32" s="19" t="s">
        <v>126</v>
      </c>
      <c r="K32" s="20" t="s">
        <v>22</v>
      </c>
    </row>
    <row r="33" spans="1:11" x14ac:dyDescent="0.25">
      <c r="A33" s="5">
        <v>29</v>
      </c>
      <c r="B33" s="21" t="s">
        <v>122</v>
      </c>
      <c r="C33" s="7" t="s">
        <v>127</v>
      </c>
      <c r="D33" s="8" t="s">
        <v>128</v>
      </c>
      <c r="E33" s="9" t="s">
        <v>129</v>
      </c>
      <c r="F33" s="10" t="s">
        <v>17</v>
      </c>
      <c r="G33" s="11" t="s">
        <v>18</v>
      </c>
      <c r="H33" s="10" t="s">
        <v>19</v>
      </c>
      <c r="I33" s="10" t="s">
        <v>20</v>
      </c>
      <c r="J33" s="12" t="s">
        <v>126</v>
      </c>
      <c r="K33" s="13" t="s">
        <v>22</v>
      </c>
    </row>
    <row r="34" spans="1:11" x14ac:dyDescent="0.25">
      <c r="A34" s="14">
        <v>30</v>
      </c>
      <c r="B34" s="15" t="s">
        <v>122</v>
      </c>
      <c r="C34" s="16" t="s">
        <v>130</v>
      </c>
      <c r="D34" s="17" t="s">
        <v>131</v>
      </c>
      <c r="E34" s="18" t="s">
        <v>129</v>
      </c>
      <c r="F34" s="10" t="s">
        <v>17</v>
      </c>
      <c r="G34" s="11" t="s">
        <v>18</v>
      </c>
      <c r="H34" s="10" t="s">
        <v>19</v>
      </c>
      <c r="I34" s="10" t="s">
        <v>20</v>
      </c>
      <c r="J34" s="19" t="s">
        <v>126</v>
      </c>
      <c r="K34" s="20" t="s">
        <v>22</v>
      </c>
    </row>
    <row r="35" spans="1:11" x14ac:dyDescent="0.25">
      <c r="A35" s="5">
        <v>31</v>
      </c>
      <c r="B35" s="21" t="s">
        <v>122</v>
      </c>
      <c r="C35" s="7" t="s">
        <v>132</v>
      </c>
      <c r="D35" s="8" t="s">
        <v>133</v>
      </c>
      <c r="E35" s="9" t="s">
        <v>134</v>
      </c>
      <c r="F35" s="10" t="s">
        <v>17</v>
      </c>
      <c r="G35" s="11" t="s">
        <v>18</v>
      </c>
      <c r="H35" s="10" t="s">
        <v>19</v>
      </c>
      <c r="I35" s="10" t="s">
        <v>20</v>
      </c>
      <c r="J35" s="12" t="s">
        <v>126</v>
      </c>
      <c r="K35" s="13" t="s">
        <v>22</v>
      </c>
    </row>
    <row r="36" spans="1:11" x14ac:dyDescent="0.25">
      <c r="A36" s="14">
        <v>32</v>
      </c>
      <c r="B36" s="15" t="s">
        <v>122</v>
      </c>
      <c r="C36" s="16" t="s">
        <v>135</v>
      </c>
      <c r="D36" s="17" t="s">
        <v>136</v>
      </c>
      <c r="E36" s="18" t="s">
        <v>137</v>
      </c>
      <c r="F36" s="10" t="s">
        <v>17</v>
      </c>
      <c r="G36" s="11" t="s">
        <v>18</v>
      </c>
      <c r="H36" s="10" t="s">
        <v>19</v>
      </c>
      <c r="I36" s="10" t="s">
        <v>20</v>
      </c>
      <c r="J36" s="19" t="s">
        <v>126</v>
      </c>
      <c r="K36" s="20" t="s">
        <v>22</v>
      </c>
    </row>
    <row r="37" spans="1:11" x14ac:dyDescent="0.25">
      <c r="A37" s="5">
        <v>33</v>
      </c>
      <c r="B37" s="21" t="s">
        <v>122</v>
      </c>
      <c r="C37" s="7" t="s">
        <v>138</v>
      </c>
      <c r="D37" s="8" t="s">
        <v>139</v>
      </c>
      <c r="E37" s="9" t="s">
        <v>140</v>
      </c>
      <c r="F37" s="10" t="s">
        <v>17</v>
      </c>
      <c r="G37" s="11" t="s">
        <v>18</v>
      </c>
      <c r="H37" s="10" t="s">
        <v>19</v>
      </c>
      <c r="I37" s="10" t="s">
        <v>20</v>
      </c>
      <c r="J37" s="12">
        <v>3276</v>
      </c>
      <c r="K37" s="13" t="s">
        <v>22</v>
      </c>
    </row>
    <row r="38" spans="1:11" x14ac:dyDescent="0.25">
      <c r="A38" s="14">
        <v>34</v>
      </c>
      <c r="B38" s="22" t="s">
        <v>141</v>
      </c>
      <c r="C38" s="16" t="s">
        <v>142</v>
      </c>
      <c r="D38" s="17" t="s">
        <v>143</v>
      </c>
      <c r="E38" s="18" t="s">
        <v>144</v>
      </c>
      <c r="F38" s="10" t="s">
        <v>17</v>
      </c>
      <c r="G38" s="11" t="s">
        <v>18</v>
      </c>
      <c r="H38" s="10" t="s">
        <v>19</v>
      </c>
      <c r="I38" s="10" t="s">
        <v>20</v>
      </c>
      <c r="J38" s="19" t="s">
        <v>145</v>
      </c>
      <c r="K38" s="20" t="s">
        <v>22</v>
      </c>
    </row>
    <row r="39" spans="1:11" x14ac:dyDescent="0.25">
      <c r="A39" s="5">
        <v>35</v>
      </c>
      <c r="B39" s="21" t="s">
        <v>141</v>
      </c>
      <c r="C39" s="7" t="s">
        <v>146</v>
      </c>
      <c r="D39" s="8" t="s">
        <v>147</v>
      </c>
      <c r="E39" s="9" t="s">
        <v>148</v>
      </c>
      <c r="F39" s="10" t="s">
        <v>17</v>
      </c>
      <c r="G39" s="11" t="s">
        <v>18</v>
      </c>
      <c r="H39" s="10" t="s">
        <v>19</v>
      </c>
      <c r="I39" s="10" t="s">
        <v>20</v>
      </c>
      <c r="J39" s="12" t="s">
        <v>149</v>
      </c>
      <c r="K39" s="13" t="s">
        <v>22</v>
      </c>
    </row>
    <row r="40" spans="1:11" x14ac:dyDescent="0.25">
      <c r="A40" s="14">
        <v>36</v>
      </c>
      <c r="B40" s="15" t="s">
        <v>141</v>
      </c>
      <c r="C40" s="16" t="s">
        <v>150</v>
      </c>
      <c r="D40" s="17" t="s">
        <v>151</v>
      </c>
      <c r="E40" s="18" t="s">
        <v>152</v>
      </c>
      <c r="F40" s="10" t="s">
        <v>17</v>
      </c>
      <c r="G40" s="11" t="s">
        <v>18</v>
      </c>
      <c r="H40" s="10" t="s">
        <v>19</v>
      </c>
      <c r="I40" s="10" t="s">
        <v>20</v>
      </c>
      <c r="J40" s="19" t="s">
        <v>153</v>
      </c>
      <c r="K40" s="20" t="s">
        <v>22</v>
      </c>
    </row>
    <row r="41" spans="1:11" x14ac:dyDescent="0.25">
      <c r="A41" s="5">
        <v>37</v>
      </c>
      <c r="B41" s="21" t="s">
        <v>141</v>
      </c>
      <c r="C41" s="7" t="s">
        <v>154</v>
      </c>
      <c r="D41" s="8" t="s">
        <v>155</v>
      </c>
      <c r="E41" s="9" t="s">
        <v>156</v>
      </c>
      <c r="F41" s="10" t="s">
        <v>17</v>
      </c>
      <c r="G41" s="11" t="s">
        <v>18</v>
      </c>
      <c r="H41" s="10" t="s">
        <v>19</v>
      </c>
      <c r="I41" s="10" t="s">
        <v>20</v>
      </c>
      <c r="J41" s="12" t="s">
        <v>157</v>
      </c>
      <c r="K41" s="13" t="s">
        <v>22</v>
      </c>
    </row>
    <row r="42" spans="1:11" x14ac:dyDescent="0.25">
      <c r="A42" s="14">
        <v>38</v>
      </c>
      <c r="B42" s="15" t="s">
        <v>141</v>
      </c>
      <c r="C42" s="16" t="s">
        <v>158</v>
      </c>
      <c r="D42" s="17" t="s">
        <v>159</v>
      </c>
      <c r="E42" s="18" t="s">
        <v>160</v>
      </c>
      <c r="F42" s="10" t="s">
        <v>17</v>
      </c>
      <c r="G42" s="11" t="s">
        <v>18</v>
      </c>
      <c r="H42" s="10" t="s">
        <v>19</v>
      </c>
      <c r="I42" s="10" t="s">
        <v>20</v>
      </c>
      <c r="J42" s="19" t="s">
        <v>161</v>
      </c>
      <c r="K42" s="20" t="s">
        <v>22</v>
      </c>
    </row>
    <row r="43" spans="1:11" x14ac:dyDescent="0.25">
      <c r="A43" s="5">
        <v>39</v>
      </c>
      <c r="B43" s="21" t="s">
        <v>141</v>
      </c>
      <c r="C43" s="7" t="s">
        <v>162</v>
      </c>
      <c r="D43" s="8" t="s">
        <v>163</v>
      </c>
      <c r="E43" s="9" t="s">
        <v>164</v>
      </c>
      <c r="F43" s="10" t="s">
        <v>17</v>
      </c>
      <c r="G43" s="11" t="s">
        <v>18</v>
      </c>
      <c r="H43" s="10" t="s">
        <v>19</v>
      </c>
      <c r="I43" s="10" t="s">
        <v>20</v>
      </c>
      <c r="J43" s="12" t="s">
        <v>165</v>
      </c>
      <c r="K43" s="13" t="s">
        <v>22</v>
      </c>
    </row>
    <row r="44" spans="1:11" x14ac:dyDescent="0.25">
      <c r="A44" s="14">
        <v>40</v>
      </c>
      <c r="B44" s="22" t="s">
        <v>166</v>
      </c>
      <c r="C44" s="16" t="s">
        <v>167</v>
      </c>
      <c r="D44" s="17" t="s">
        <v>168</v>
      </c>
      <c r="E44" s="18" t="s">
        <v>169</v>
      </c>
      <c r="F44" s="10" t="s">
        <v>17</v>
      </c>
      <c r="G44" s="11" t="s">
        <v>18</v>
      </c>
      <c r="H44" s="10" t="s">
        <v>29</v>
      </c>
      <c r="I44" s="10" t="s">
        <v>30</v>
      </c>
      <c r="J44" s="19" t="s">
        <v>170</v>
      </c>
      <c r="K44" s="20" t="s">
        <v>113</v>
      </c>
    </row>
    <row r="45" spans="1:11" x14ac:dyDescent="0.25">
      <c r="A45" s="5">
        <v>41</v>
      </c>
      <c r="B45" s="21" t="s">
        <v>166</v>
      </c>
      <c r="C45" s="7" t="s">
        <v>171</v>
      </c>
      <c r="D45" s="8" t="s">
        <v>172</v>
      </c>
      <c r="E45" s="9" t="s">
        <v>173</v>
      </c>
      <c r="F45" s="10" t="s">
        <v>17</v>
      </c>
      <c r="G45" s="11" t="s">
        <v>18</v>
      </c>
      <c r="H45" s="10" t="s">
        <v>29</v>
      </c>
      <c r="I45" s="10" t="s">
        <v>30</v>
      </c>
      <c r="J45" s="12" t="s">
        <v>174</v>
      </c>
      <c r="K45" s="13" t="s">
        <v>113</v>
      </c>
    </row>
    <row r="46" spans="1:11" x14ac:dyDescent="0.25">
      <c r="A46" s="14">
        <v>42</v>
      </c>
      <c r="B46" s="15" t="s">
        <v>166</v>
      </c>
      <c r="C46" s="16" t="s">
        <v>175</v>
      </c>
      <c r="D46" s="17" t="s">
        <v>176</v>
      </c>
      <c r="E46" s="18" t="s">
        <v>177</v>
      </c>
      <c r="F46" s="10" t="s">
        <v>17</v>
      </c>
      <c r="G46" s="11" t="s">
        <v>18</v>
      </c>
      <c r="H46" s="10" t="s">
        <v>29</v>
      </c>
      <c r="I46" s="10" t="s">
        <v>30</v>
      </c>
      <c r="J46" s="19" t="s">
        <v>174</v>
      </c>
      <c r="K46" s="20" t="s">
        <v>113</v>
      </c>
    </row>
    <row r="47" spans="1:11" x14ac:dyDescent="0.25">
      <c r="A47" s="5">
        <v>43</v>
      </c>
      <c r="B47" s="21" t="s">
        <v>166</v>
      </c>
      <c r="C47" s="7" t="s">
        <v>178</v>
      </c>
      <c r="D47" s="8" t="s">
        <v>179</v>
      </c>
      <c r="E47" s="9" t="s">
        <v>180</v>
      </c>
      <c r="F47" s="10" t="s">
        <v>17</v>
      </c>
      <c r="G47" s="11" t="s">
        <v>18</v>
      </c>
      <c r="H47" s="10" t="s">
        <v>19</v>
      </c>
      <c r="I47" s="10" t="s">
        <v>20</v>
      </c>
      <c r="J47" s="12" t="s">
        <v>181</v>
      </c>
      <c r="K47" s="13" t="s">
        <v>22</v>
      </c>
    </row>
    <row r="48" spans="1:11" x14ac:dyDescent="0.25">
      <c r="A48" s="14">
        <v>44</v>
      </c>
      <c r="B48" s="15" t="s">
        <v>166</v>
      </c>
      <c r="C48" s="16" t="s">
        <v>182</v>
      </c>
      <c r="D48" s="17" t="s">
        <v>183</v>
      </c>
      <c r="E48" s="18" t="s">
        <v>184</v>
      </c>
      <c r="F48" s="10" t="s">
        <v>17</v>
      </c>
      <c r="G48" s="11" t="s">
        <v>18</v>
      </c>
      <c r="H48" s="10" t="s">
        <v>19</v>
      </c>
      <c r="I48" s="10" t="s">
        <v>20</v>
      </c>
      <c r="J48" s="19" t="s">
        <v>185</v>
      </c>
      <c r="K48" s="20" t="s">
        <v>22</v>
      </c>
    </row>
    <row r="49" spans="1:11" x14ac:dyDescent="0.25">
      <c r="A49" s="5">
        <v>45</v>
      </c>
      <c r="B49" s="6" t="s">
        <v>186</v>
      </c>
      <c r="C49" s="7" t="s">
        <v>187</v>
      </c>
      <c r="D49" s="8" t="s">
        <v>188</v>
      </c>
      <c r="E49" s="9" t="s">
        <v>189</v>
      </c>
      <c r="F49" s="10" t="s">
        <v>17</v>
      </c>
      <c r="G49" s="11" t="s">
        <v>18</v>
      </c>
      <c r="H49" s="10" t="s">
        <v>29</v>
      </c>
      <c r="I49" s="10" t="s">
        <v>30</v>
      </c>
      <c r="J49" s="12" t="s">
        <v>190</v>
      </c>
      <c r="K49" s="13" t="s">
        <v>32</v>
      </c>
    </row>
    <row r="50" spans="1:11" x14ac:dyDescent="0.25">
      <c r="A50" s="14">
        <v>46</v>
      </c>
      <c r="B50" s="15" t="s">
        <v>186</v>
      </c>
      <c r="C50" s="16" t="s">
        <v>191</v>
      </c>
      <c r="D50" s="17" t="s">
        <v>192</v>
      </c>
      <c r="E50" s="18" t="s">
        <v>193</v>
      </c>
      <c r="F50" s="10" t="s">
        <v>17</v>
      </c>
      <c r="G50" s="11" t="s">
        <v>18</v>
      </c>
      <c r="H50" s="10" t="s">
        <v>29</v>
      </c>
      <c r="I50" s="10" t="s">
        <v>30</v>
      </c>
      <c r="J50" s="19" t="s">
        <v>194</v>
      </c>
      <c r="K50" s="20" t="s">
        <v>113</v>
      </c>
    </row>
    <row r="51" spans="1:11" x14ac:dyDescent="0.25">
      <c r="A51" s="5">
        <v>47</v>
      </c>
      <c r="B51" s="21" t="s">
        <v>186</v>
      </c>
      <c r="C51" s="7" t="s">
        <v>195</v>
      </c>
      <c r="D51" s="8" t="s">
        <v>196</v>
      </c>
      <c r="E51" s="9" t="s">
        <v>197</v>
      </c>
      <c r="F51" s="10" t="s">
        <v>17</v>
      </c>
      <c r="G51" s="11" t="s">
        <v>18</v>
      </c>
      <c r="H51" s="10" t="s">
        <v>19</v>
      </c>
      <c r="I51" s="10" t="s">
        <v>20</v>
      </c>
      <c r="J51" s="12">
        <v>3277</v>
      </c>
      <c r="K51" s="13" t="s">
        <v>22</v>
      </c>
    </row>
    <row r="52" spans="1:11" x14ac:dyDescent="0.25">
      <c r="A52" s="14">
        <v>48</v>
      </c>
      <c r="B52" s="15" t="s">
        <v>186</v>
      </c>
      <c r="C52" s="16" t="s">
        <v>198</v>
      </c>
      <c r="D52" s="17" t="s">
        <v>199</v>
      </c>
      <c r="E52" s="18" t="s">
        <v>200</v>
      </c>
      <c r="F52" s="10" t="s">
        <v>17</v>
      </c>
      <c r="G52" s="11" t="s">
        <v>18</v>
      </c>
      <c r="H52" s="10" t="s">
        <v>29</v>
      </c>
      <c r="I52" s="10" t="s">
        <v>30</v>
      </c>
      <c r="J52" s="19" t="s">
        <v>190</v>
      </c>
      <c r="K52" s="20" t="s">
        <v>32</v>
      </c>
    </row>
    <row r="53" spans="1:11" x14ac:dyDescent="0.25">
      <c r="A53" s="5">
        <v>49</v>
      </c>
      <c r="B53" s="21" t="s">
        <v>186</v>
      </c>
      <c r="C53" s="7" t="s">
        <v>201</v>
      </c>
      <c r="D53" s="8" t="s">
        <v>202</v>
      </c>
      <c r="E53" s="9" t="s">
        <v>203</v>
      </c>
      <c r="F53" s="10" t="s">
        <v>17</v>
      </c>
      <c r="G53" s="11" t="s">
        <v>18</v>
      </c>
      <c r="H53" s="10" t="s">
        <v>29</v>
      </c>
      <c r="I53" s="10" t="s">
        <v>30</v>
      </c>
      <c r="J53" s="12" t="s">
        <v>190</v>
      </c>
      <c r="K53" s="13" t="s">
        <v>32</v>
      </c>
    </row>
    <row r="54" spans="1:11" x14ac:dyDescent="0.25">
      <c r="A54" s="14">
        <v>50</v>
      </c>
      <c r="B54" s="15" t="s">
        <v>186</v>
      </c>
      <c r="C54" s="16" t="s">
        <v>204</v>
      </c>
      <c r="D54" s="17" t="s">
        <v>205</v>
      </c>
      <c r="E54" s="18" t="s">
        <v>206</v>
      </c>
      <c r="F54" s="10" t="s">
        <v>17</v>
      </c>
      <c r="G54" s="11" t="s">
        <v>18</v>
      </c>
      <c r="H54" s="10" t="s">
        <v>19</v>
      </c>
      <c r="I54" s="10" t="s">
        <v>20</v>
      </c>
      <c r="J54" s="19">
        <v>3280</v>
      </c>
      <c r="K54" s="20" t="s">
        <v>22</v>
      </c>
    </row>
    <row r="55" spans="1:11" x14ac:dyDescent="0.25">
      <c r="A55" s="5">
        <v>51</v>
      </c>
      <c r="B55" s="6" t="s">
        <v>207</v>
      </c>
      <c r="C55" s="7" t="s">
        <v>208</v>
      </c>
      <c r="D55" s="8" t="s">
        <v>209</v>
      </c>
      <c r="E55" s="9" t="s">
        <v>210</v>
      </c>
      <c r="F55" s="10" t="s">
        <v>17</v>
      </c>
      <c r="G55" s="11" t="s">
        <v>18</v>
      </c>
      <c r="H55" s="10" t="s">
        <v>19</v>
      </c>
      <c r="I55" s="10" t="s">
        <v>20</v>
      </c>
      <c r="J55" s="12" t="s">
        <v>211</v>
      </c>
      <c r="K55" s="13" t="s">
        <v>22</v>
      </c>
    </row>
    <row r="56" spans="1:11" x14ac:dyDescent="0.25">
      <c r="A56" s="14">
        <v>52</v>
      </c>
      <c r="B56" s="15" t="s">
        <v>207</v>
      </c>
      <c r="C56" s="16" t="s">
        <v>212</v>
      </c>
      <c r="D56" s="17" t="s">
        <v>213</v>
      </c>
      <c r="E56" s="18" t="s">
        <v>214</v>
      </c>
      <c r="F56" s="10" t="s">
        <v>17</v>
      </c>
      <c r="G56" s="11" t="s">
        <v>18</v>
      </c>
      <c r="H56" s="10" t="s">
        <v>19</v>
      </c>
      <c r="I56" s="10" t="s">
        <v>20</v>
      </c>
      <c r="J56" s="19" t="s">
        <v>215</v>
      </c>
      <c r="K56" s="20" t="s">
        <v>22</v>
      </c>
    </row>
    <row r="57" spans="1:11" x14ac:dyDescent="0.25">
      <c r="A57" s="5">
        <v>53</v>
      </c>
      <c r="B57" s="21" t="s">
        <v>207</v>
      </c>
      <c r="C57" s="7" t="s">
        <v>216</v>
      </c>
      <c r="D57" s="8" t="s">
        <v>217</v>
      </c>
      <c r="E57" s="9" t="s">
        <v>218</v>
      </c>
      <c r="F57" s="10" t="s">
        <v>17</v>
      </c>
      <c r="G57" s="11" t="s">
        <v>18</v>
      </c>
      <c r="H57" s="10" t="s">
        <v>19</v>
      </c>
      <c r="I57" s="10" t="s">
        <v>20</v>
      </c>
      <c r="J57" s="12" t="s">
        <v>215</v>
      </c>
      <c r="K57" s="13" t="s">
        <v>22</v>
      </c>
    </row>
    <row r="58" spans="1:11" x14ac:dyDescent="0.25">
      <c r="A58" s="14">
        <v>54</v>
      </c>
      <c r="B58" s="22" t="s">
        <v>219</v>
      </c>
      <c r="C58" s="16" t="s">
        <v>220</v>
      </c>
      <c r="D58" s="17" t="s">
        <v>221</v>
      </c>
      <c r="E58" s="18" t="s">
        <v>222</v>
      </c>
      <c r="F58" s="10" t="s">
        <v>17</v>
      </c>
      <c r="G58" s="11" t="s">
        <v>18</v>
      </c>
      <c r="H58" s="10" t="s">
        <v>19</v>
      </c>
      <c r="I58" s="10" t="s">
        <v>20</v>
      </c>
      <c r="J58" s="19" t="s">
        <v>223</v>
      </c>
      <c r="K58" s="20" t="s">
        <v>224</v>
      </c>
    </row>
    <row r="59" spans="1:11" x14ac:dyDescent="0.25">
      <c r="A59" s="5">
        <v>55</v>
      </c>
      <c r="B59" s="21" t="s">
        <v>219</v>
      </c>
      <c r="C59" s="7" t="s">
        <v>225</v>
      </c>
      <c r="D59" s="8" t="s">
        <v>226</v>
      </c>
      <c r="E59" s="9" t="s">
        <v>203</v>
      </c>
      <c r="F59" s="10" t="s">
        <v>17</v>
      </c>
      <c r="G59" s="11" t="s">
        <v>18</v>
      </c>
      <c r="H59" s="10" t="s">
        <v>19</v>
      </c>
      <c r="I59" s="10" t="s">
        <v>20</v>
      </c>
      <c r="J59" s="12" t="s">
        <v>223</v>
      </c>
      <c r="K59" s="13" t="s">
        <v>22</v>
      </c>
    </row>
    <row r="60" spans="1:11" x14ac:dyDescent="0.25">
      <c r="A60" s="14">
        <v>56</v>
      </c>
      <c r="B60" s="15" t="s">
        <v>219</v>
      </c>
      <c r="C60" s="16" t="s">
        <v>227</v>
      </c>
      <c r="D60" s="17" t="s">
        <v>228</v>
      </c>
      <c r="E60" s="18" t="s">
        <v>229</v>
      </c>
      <c r="F60" s="10" t="s">
        <v>17</v>
      </c>
      <c r="G60" s="11" t="s">
        <v>18</v>
      </c>
      <c r="H60" s="10" t="s">
        <v>19</v>
      </c>
      <c r="I60" s="10" t="s">
        <v>20</v>
      </c>
      <c r="J60" s="19" t="s">
        <v>223</v>
      </c>
      <c r="K60" s="20" t="s">
        <v>22</v>
      </c>
    </row>
    <row r="61" spans="1:11" x14ac:dyDescent="0.25">
      <c r="A61" s="5">
        <v>57</v>
      </c>
      <c r="B61" s="6" t="s">
        <v>230</v>
      </c>
      <c r="C61" s="7" t="s">
        <v>231</v>
      </c>
      <c r="D61" s="8" t="s">
        <v>232</v>
      </c>
      <c r="E61" s="9" t="s">
        <v>233</v>
      </c>
      <c r="F61" s="10" t="s">
        <v>17</v>
      </c>
      <c r="G61" s="11" t="s">
        <v>18</v>
      </c>
      <c r="H61" s="10" t="s">
        <v>19</v>
      </c>
      <c r="I61" s="10" t="s">
        <v>20</v>
      </c>
      <c r="J61" s="12" t="s">
        <v>234</v>
      </c>
      <c r="K61" s="13" t="s">
        <v>22</v>
      </c>
    </row>
    <row r="62" spans="1:11" x14ac:dyDescent="0.25">
      <c r="A62" s="14">
        <v>58</v>
      </c>
      <c r="B62" s="15" t="s">
        <v>230</v>
      </c>
      <c r="C62" s="16" t="s">
        <v>235</v>
      </c>
      <c r="D62" s="17" t="s">
        <v>236</v>
      </c>
      <c r="E62" s="18" t="s">
        <v>237</v>
      </c>
      <c r="F62" s="10" t="s">
        <v>17</v>
      </c>
      <c r="G62" s="11" t="s">
        <v>18</v>
      </c>
      <c r="H62" s="10" t="s">
        <v>19</v>
      </c>
      <c r="I62" s="10" t="s">
        <v>20</v>
      </c>
      <c r="J62" s="19" t="s">
        <v>238</v>
      </c>
      <c r="K62" s="20" t="s">
        <v>22</v>
      </c>
    </row>
    <row r="63" spans="1:11" x14ac:dyDescent="0.25">
      <c r="A63" s="5">
        <v>59</v>
      </c>
      <c r="B63" s="21" t="s">
        <v>230</v>
      </c>
      <c r="C63" s="7" t="s">
        <v>239</v>
      </c>
      <c r="D63" s="8" t="s">
        <v>240</v>
      </c>
      <c r="E63" s="9" t="s">
        <v>241</v>
      </c>
      <c r="F63" s="10" t="s">
        <v>17</v>
      </c>
      <c r="G63" s="11" t="s">
        <v>18</v>
      </c>
      <c r="H63" s="10" t="s">
        <v>19</v>
      </c>
      <c r="I63" s="10" t="s">
        <v>20</v>
      </c>
      <c r="J63" s="12" t="s">
        <v>242</v>
      </c>
      <c r="K63" s="13" t="s">
        <v>22</v>
      </c>
    </row>
    <row r="64" spans="1:11" x14ac:dyDescent="0.25">
      <c r="A64" s="14">
        <v>60</v>
      </c>
      <c r="B64" s="15" t="s">
        <v>230</v>
      </c>
      <c r="C64" s="16" t="s">
        <v>243</v>
      </c>
      <c r="D64" s="17" t="s">
        <v>244</v>
      </c>
      <c r="E64" s="18" t="s">
        <v>245</v>
      </c>
      <c r="F64" s="10" t="s">
        <v>17</v>
      </c>
      <c r="G64" s="11" t="s">
        <v>18</v>
      </c>
      <c r="H64" s="10" t="s">
        <v>19</v>
      </c>
      <c r="I64" s="10" t="s">
        <v>20</v>
      </c>
      <c r="J64" s="19" t="s">
        <v>238</v>
      </c>
      <c r="K64" s="20" t="s">
        <v>22</v>
      </c>
    </row>
    <row r="65" spans="1:11" x14ac:dyDescent="0.25">
      <c r="A65" s="5">
        <v>61</v>
      </c>
      <c r="B65" s="21" t="s">
        <v>230</v>
      </c>
      <c r="C65" s="7" t="s">
        <v>246</v>
      </c>
      <c r="D65" s="8" t="s">
        <v>247</v>
      </c>
      <c r="E65" s="9" t="s">
        <v>248</v>
      </c>
      <c r="F65" s="10" t="s">
        <v>17</v>
      </c>
      <c r="G65" s="11" t="s">
        <v>18</v>
      </c>
      <c r="H65" s="10" t="s">
        <v>19</v>
      </c>
      <c r="I65" s="10" t="s">
        <v>20</v>
      </c>
      <c r="J65" s="12" t="s">
        <v>238</v>
      </c>
      <c r="K65" s="13" t="s">
        <v>22</v>
      </c>
    </row>
    <row r="66" spans="1:11" x14ac:dyDescent="0.25">
      <c r="A66" s="14">
        <v>62</v>
      </c>
      <c r="B66" s="15" t="s">
        <v>230</v>
      </c>
      <c r="C66" s="16" t="s">
        <v>249</v>
      </c>
      <c r="D66" s="17" t="s">
        <v>250</v>
      </c>
      <c r="E66" s="18" t="s">
        <v>251</v>
      </c>
      <c r="F66" s="10" t="s">
        <v>17</v>
      </c>
      <c r="G66" s="11" t="s">
        <v>18</v>
      </c>
      <c r="H66" s="10" t="s">
        <v>19</v>
      </c>
      <c r="I66" s="10" t="s">
        <v>20</v>
      </c>
      <c r="J66" s="19" t="s">
        <v>238</v>
      </c>
      <c r="K66" s="20" t="s">
        <v>22</v>
      </c>
    </row>
    <row r="67" spans="1:11" x14ac:dyDescent="0.25">
      <c r="A67" s="5">
        <v>63</v>
      </c>
      <c r="B67" s="21" t="s">
        <v>230</v>
      </c>
      <c r="C67" s="7" t="s">
        <v>252</v>
      </c>
      <c r="D67" s="8" t="s">
        <v>253</v>
      </c>
      <c r="E67" s="9" t="s">
        <v>254</v>
      </c>
      <c r="F67" s="10" t="s">
        <v>17</v>
      </c>
      <c r="G67" s="11" t="s">
        <v>18</v>
      </c>
      <c r="H67" s="10" t="s">
        <v>19</v>
      </c>
      <c r="I67" s="10" t="s">
        <v>20</v>
      </c>
      <c r="J67" s="12" t="s">
        <v>238</v>
      </c>
      <c r="K67" s="13" t="s">
        <v>22</v>
      </c>
    </row>
    <row r="68" spans="1:11" x14ac:dyDescent="0.25">
      <c r="A68" s="14">
        <v>64</v>
      </c>
      <c r="B68" s="15" t="s">
        <v>230</v>
      </c>
      <c r="C68" s="16" t="s">
        <v>255</v>
      </c>
      <c r="D68" s="17" t="s">
        <v>256</v>
      </c>
      <c r="E68" s="18" t="s">
        <v>257</v>
      </c>
      <c r="F68" s="10" t="s">
        <v>17</v>
      </c>
      <c r="G68" s="11" t="s">
        <v>18</v>
      </c>
      <c r="H68" s="10" t="s">
        <v>19</v>
      </c>
      <c r="I68" s="10" t="s">
        <v>20</v>
      </c>
      <c r="J68" s="19" t="s">
        <v>238</v>
      </c>
      <c r="K68" s="20" t="s">
        <v>22</v>
      </c>
    </row>
    <row r="69" spans="1:11" x14ac:dyDescent="0.25">
      <c r="A69" s="5">
        <v>65</v>
      </c>
      <c r="B69" s="6" t="s">
        <v>258</v>
      </c>
      <c r="C69" s="7" t="s">
        <v>259</v>
      </c>
      <c r="D69" s="8" t="s">
        <v>260</v>
      </c>
      <c r="E69" s="9" t="s">
        <v>261</v>
      </c>
      <c r="F69" s="10" t="s">
        <v>17</v>
      </c>
      <c r="G69" s="11" t="s">
        <v>18</v>
      </c>
      <c r="H69" s="10" t="s">
        <v>29</v>
      </c>
      <c r="I69" s="10" t="s">
        <v>30</v>
      </c>
      <c r="J69" s="12" t="s">
        <v>262</v>
      </c>
      <c r="K69" s="13" t="s">
        <v>32</v>
      </c>
    </row>
    <row r="70" spans="1:11" x14ac:dyDescent="0.25">
      <c r="A70" s="14">
        <v>66</v>
      </c>
      <c r="B70" s="15" t="s">
        <v>258</v>
      </c>
      <c r="C70" s="16" t="s">
        <v>263</v>
      </c>
      <c r="D70" s="17" t="s">
        <v>264</v>
      </c>
      <c r="E70" s="18" t="s">
        <v>39</v>
      </c>
      <c r="F70" s="10" t="s">
        <v>17</v>
      </c>
      <c r="G70" s="11" t="s">
        <v>18</v>
      </c>
      <c r="H70" s="10" t="s">
        <v>19</v>
      </c>
      <c r="I70" s="10" t="s">
        <v>20</v>
      </c>
      <c r="J70" s="19" t="s">
        <v>62</v>
      </c>
      <c r="K70" s="20" t="s">
        <v>22</v>
      </c>
    </row>
    <row r="71" spans="1:11" x14ac:dyDescent="0.25">
      <c r="A71" s="5">
        <v>67</v>
      </c>
      <c r="B71" s="6" t="s">
        <v>13</v>
      </c>
      <c r="C71" s="7" t="s">
        <v>265</v>
      </c>
      <c r="D71" s="8" t="s">
        <v>266</v>
      </c>
      <c r="E71" s="9" t="s">
        <v>267</v>
      </c>
      <c r="F71" s="23" t="s">
        <v>268</v>
      </c>
      <c r="G71" s="11" t="s">
        <v>18</v>
      </c>
      <c r="H71" s="10" t="s">
        <v>29</v>
      </c>
      <c r="I71" s="10" t="s">
        <v>30</v>
      </c>
      <c r="J71" s="12" t="s">
        <v>269</v>
      </c>
      <c r="K71" s="13" t="s">
        <v>270</v>
      </c>
    </row>
    <row r="72" spans="1:11" x14ac:dyDescent="0.25">
      <c r="A72" s="14">
        <v>68</v>
      </c>
      <c r="B72" s="22" t="s">
        <v>48</v>
      </c>
      <c r="C72" s="16" t="s">
        <v>271</v>
      </c>
      <c r="D72" s="17" t="s">
        <v>272</v>
      </c>
      <c r="E72" s="18" t="s">
        <v>273</v>
      </c>
      <c r="F72" s="24" t="s">
        <v>268</v>
      </c>
      <c r="G72" s="10" t="s">
        <v>274</v>
      </c>
      <c r="H72" s="10" t="s">
        <v>19</v>
      </c>
      <c r="I72" s="10" t="s">
        <v>20</v>
      </c>
      <c r="J72" s="19" t="s">
        <v>275</v>
      </c>
      <c r="K72" s="20" t="s">
        <v>276</v>
      </c>
    </row>
    <row r="73" spans="1:11" x14ac:dyDescent="0.25">
      <c r="A73" s="5">
        <v>69</v>
      </c>
      <c r="B73" s="6" t="s">
        <v>277</v>
      </c>
      <c r="C73" s="7" t="s">
        <v>278</v>
      </c>
      <c r="D73" s="8" t="s">
        <v>279</v>
      </c>
      <c r="E73" s="9" t="s">
        <v>280</v>
      </c>
      <c r="F73" s="23" t="s">
        <v>268</v>
      </c>
      <c r="G73" s="10" t="s">
        <v>274</v>
      </c>
      <c r="H73" s="10" t="s">
        <v>281</v>
      </c>
      <c r="I73" s="10" t="s">
        <v>20</v>
      </c>
      <c r="J73" s="12" t="s">
        <v>282</v>
      </c>
      <c r="K73" s="13" t="s">
        <v>283</v>
      </c>
    </row>
    <row r="74" spans="1:11" x14ac:dyDescent="0.25">
      <c r="A74" s="14">
        <v>70</v>
      </c>
      <c r="B74" s="22" t="s">
        <v>186</v>
      </c>
      <c r="C74" s="16" t="s">
        <v>284</v>
      </c>
      <c r="D74" s="17" t="s">
        <v>285</v>
      </c>
      <c r="E74" s="18" t="s">
        <v>280</v>
      </c>
      <c r="F74" s="24" t="s">
        <v>268</v>
      </c>
      <c r="G74" s="10" t="s">
        <v>274</v>
      </c>
      <c r="H74" s="10" t="s">
        <v>281</v>
      </c>
      <c r="I74" s="10" t="s">
        <v>20</v>
      </c>
      <c r="J74" s="19" t="s">
        <v>286</v>
      </c>
      <c r="K74" s="20" t="s">
        <v>287</v>
      </c>
    </row>
    <row r="75" spans="1:11" x14ac:dyDescent="0.25">
      <c r="A75" s="5">
        <v>71</v>
      </c>
      <c r="B75" s="6" t="s">
        <v>67</v>
      </c>
      <c r="C75" s="7" t="s">
        <v>288</v>
      </c>
      <c r="D75" s="8" t="s">
        <v>289</v>
      </c>
      <c r="E75" s="9" t="s">
        <v>290</v>
      </c>
      <c r="F75" s="10" t="s">
        <v>291</v>
      </c>
      <c r="G75" s="10" t="s">
        <v>18</v>
      </c>
      <c r="H75" s="10" t="s">
        <v>29</v>
      </c>
      <c r="I75" s="10" t="s">
        <v>30</v>
      </c>
      <c r="J75" s="12">
        <v>3270</v>
      </c>
      <c r="K75" s="13" t="s">
        <v>292</v>
      </c>
    </row>
    <row r="76" spans="1:11" x14ac:dyDescent="0.25">
      <c r="A76" s="14">
        <v>72</v>
      </c>
      <c r="B76" s="15" t="s">
        <v>67</v>
      </c>
      <c r="C76" s="16" t="s">
        <v>293</v>
      </c>
      <c r="D76" s="17" t="s">
        <v>294</v>
      </c>
      <c r="E76" s="18" t="s">
        <v>273</v>
      </c>
      <c r="F76" s="10" t="s">
        <v>291</v>
      </c>
      <c r="G76" s="10" t="s">
        <v>274</v>
      </c>
      <c r="H76" s="10" t="s">
        <v>281</v>
      </c>
      <c r="I76" s="10" t="s">
        <v>20</v>
      </c>
      <c r="J76" s="19">
        <v>3271</v>
      </c>
      <c r="K76" s="20" t="s">
        <v>295</v>
      </c>
    </row>
    <row r="77" spans="1:11" x14ac:dyDescent="0.25">
      <c r="A77" s="5">
        <v>73</v>
      </c>
      <c r="B77" s="6" t="s">
        <v>141</v>
      </c>
      <c r="C77" s="7" t="s">
        <v>296</v>
      </c>
      <c r="D77" s="8" t="s">
        <v>297</v>
      </c>
      <c r="E77" s="9" t="s">
        <v>273</v>
      </c>
      <c r="F77" s="10" t="s">
        <v>291</v>
      </c>
      <c r="G77" s="10" t="s">
        <v>274</v>
      </c>
      <c r="H77" s="10" t="s">
        <v>281</v>
      </c>
      <c r="I77" s="10" t="s">
        <v>20</v>
      </c>
      <c r="J77" s="12">
        <v>3272</v>
      </c>
      <c r="K77" s="13" t="s">
        <v>298</v>
      </c>
    </row>
    <row r="78" spans="1:11" x14ac:dyDescent="0.25">
      <c r="A78" s="14">
        <v>74</v>
      </c>
      <c r="B78" s="22" t="s">
        <v>299</v>
      </c>
      <c r="C78" s="16" t="s">
        <v>300</v>
      </c>
      <c r="D78" s="17" t="s">
        <v>301</v>
      </c>
      <c r="E78" s="18" t="s">
        <v>273</v>
      </c>
      <c r="F78" s="10" t="s">
        <v>291</v>
      </c>
      <c r="G78" s="10" t="s">
        <v>274</v>
      </c>
      <c r="H78" s="10" t="s">
        <v>281</v>
      </c>
      <c r="I78" s="10" t="s">
        <v>20</v>
      </c>
      <c r="J78" s="19">
        <v>3273</v>
      </c>
      <c r="K78" s="20" t="s">
        <v>302</v>
      </c>
    </row>
    <row r="79" spans="1:11" x14ac:dyDescent="0.25">
      <c r="A79" s="5">
        <v>75</v>
      </c>
      <c r="B79" s="6" t="s">
        <v>186</v>
      </c>
      <c r="C79" s="7" t="s">
        <v>303</v>
      </c>
      <c r="D79" s="8" t="s">
        <v>304</v>
      </c>
      <c r="E79" s="9" t="s">
        <v>273</v>
      </c>
      <c r="F79" s="10" t="s">
        <v>291</v>
      </c>
      <c r="G79" s="10" t="s">
        <v>274</v>
      </c>
      <c r="H79" s="10" t="s">
        <v>281</v>
      </c>
      <c r="I79" s="10" t="s">
        <v>20</v>
      </c>
      <c r="J79" s="12">
        <v>3274</v>
      </c>
      <c r="K79" s="13" t="s">
        <v>305</v>
      </c>
    </row>
    <row r="80" spans="1:11" x14ac:dyDescent="0.25">
      <c r="A80" s="5">
        <v>76</v>
      </c>
      <c r="B80" s="6" t="s">
        <v>186</v>
      </c>
      <c r="C80" s="7" t="s">
        <v>306</v>
      </c>
      <c r="D80" s="8" t="s">
        <v>307</v>
      </c>
      <c r="E80" s="9" t="s">
        <v>273</v>
      </c>
      <c r="F80" s="10" t="s">
        <v>308</v>
      </c>
      <c r="G80" s="10" t="s">
        <v>274</v>
      </c>
      <c r="H80" s="10" t="s">
        <v>281</v>
      </c>
      <c r="I80" s="10" t="s">
        <v>309</v>
      </c>
      <c r="J80" s="12">
        <v>3281</v>
      </c>
      <c r="K80" s="13" t="s">
        <v>310</v>
      </c>
    </row>
    <row r="81" spans="1:11" x14ac:dyDescent="0.25">
      <c r="A81" s="5">
        <v>77</v>
      </c>
      <c r="B81" s="6" t="s">
        <v>13</v>
      </c>
      <c r="C81" s="7" t="s">
        <v>311</v>
      </c>
      <c r="D81" s="8" t="s">
        <v>312</v>
      </c>
      <c r="E81" s="9" t="s">
        <v>313</v>
      </c>
      <c r="F81" s="10" t="s">
        <v>308</v>
      </c>
      <c r="G81" s="10" t="s">
        <v>314</v>
      </c>
      <c r="H81" s="10" t="s">
        <v>281</v>
      </c>
      <c r="I81" s="10" t="s">
        <v>20</v>
      </c>
      <c r="J81" s="12">
        <v>3282</v>
      </c>
      <c r="K81" s="13" t="s">
        <v>315</v>
      </c>
    </row>
    <row r="82" spans="1:11" x14ac:dyDescent="0.25">
      <c r="A82" s="5">
        <v>78</v>
      </c>
      <c r="B82" s="6" t="s">
        <v>186</v>
      </c>
      <c r="C82" s="7" t="s">
        <v>316</v>
      </c>
      <c r="D82" s="8" t="s">
        <v>317</v>
      </c>
      <c r="E82" s="9" t="s">
        <v>318</v>
      </c>
      <c r="F82" s="10" t="s">
        <v>308</v>
      </c>
      <c r="G82" s="10" t="s">
        <v>18</v>
      </c>
      <c r="H82" s="10" t="s">
        <v>29</v>
      </c>
      <c r="I82" s="10" t="s">
        <v>30</v>
      </c>
      <c r="J82" s="12">
        <v>3283</v>
      </c>
      <c r="K82" s="13" t="s">
        <v>319</v>
      </c>
    </row>
    <row r="83" spans="1:11" x14ac:dyDescent="0.25">
      <c r="A83" s="5">
        <v>79</v>
      </c>
      <c r="B83" s="6" t="s">
        <v>230</v>
      </c>
      <c r="C83" s="7" t="s">
        <v>320</v>
      </c>
      <c r="D83" s="8" t="s">
        <v>321</v>
      </c>
      <c r="E83" s="9" t="s">
        <v>322</v>
      </c>
      <c r="F83" s="10" t="s">
        <v>308</v>
      </c>
      <c r="G83" s="10" t="s">
        <v>314</v>
      </c>
      <c r="H83" s="10" t="s">
        <v>19</v>
      </c>
      <c r="I83" s="10" t="s">
        <v>20</v>
      </c>
      <c r="J83" s="12">
        <v>3284</v>
      </c>
      <c r="K83" s="13" t="s">
        <v>323</v>
      </c>
    </row>
    <row r="84" spans="1:11" x14ac:dyDescent="0.25">
      <c r="A84" s="5">
        <v>80</v>
      </c>
      <c r="B84" s="6" t="s">
        <v>100</v>
      </c>
      <c r="C84" s="7" t="s">
        <v>324</v>
      </c>
      <c r="D84" s="8" t="s">
        <v>325</v>
      </c>
      <c r="E84" s="9" t="s">
        <v>273</v>
      </c>
      <c r="F84" s="10" t="s">
        <v>308</v>
      </c>
      <c r="G84" s="10" t="s">
        <v>274</v>
      </c>
      <c r="H84" s="10" t="s">
        <v>281</v>
      </c>
      <c r="I84" s="10" t="s">
        <v>20</v>
      </c>
      <c r="J84" s="12">
        <v>3285</v>
      </c>
      <c r="K84" s="13" t="s">
        <v>326</v>
      </c>
    </row>
    <row r="85" spans="1:11" x14ac:dyDescent="0.25">
      <c r="A85" s="5">
        <v>81</v>
      </c>
      <c r="B85" s="6" t="s">
        <v>122</v>
      </c>
      <c r="C85" s="7" t="s">
        <v>327</v>
      </c>
      <c r="D85" s="8" t="s">
        <v>328</v>
      </c>
      <c r="E85" s="9" t="s">
        <v>273</v>
      </c>
      <c r="F85" s="10" t="s">
        <v>308</v>
      </c>
      <c r="G85" s="10" t="s">
        <v>274</v>
      </c>
      <c r="H85" s="10" t="s">
        <v>281</v>
      </c>
      <c r="I85" s="10" t="s">
        <v>20</v>
      </c>
      <c r="J85" s="12">
        <v>3286</v>
      </c>
      <c r="K85" s="13" t="s">
        <v>329</v>
      </c>
    </row>
    <row r="86" spans="1:11" x14ac:dyDescent="0.25">
      <c r="A86" s="25">
        <v>82</v>
      </c>
      <c r="B86" s="25" t="s">
        <v>186</v>
      </c>
      <c r="C86" s="25" t="s">
        <v>330</v>
      </c>
      <c r="D86" s="25" t="s">
        <v>331</v>
      </c>
      <c r="E86" s="25" t="s">
        <v>273</v>
      </c>
      <c r="F86" s="25" t="s">
        <v>308</v>
      </c>
      <c r="G86" s="25" t="s">
        <v>274</v>
      </c>
      <c r="H86" s="25" t="s">
        <v>281</v>
      </c>
      <c r="I86" s="25" t="s">
        <v>20</v>
      </c>
      <c r="J86" s="25" t="s">
        <v>332</v>
      </c>
      <c r="K86" s="25" t="s">
        <v>333</v>
      </c>
    </row>
    <row r="87" spans="1:11" x14ac:dyDescent="0.25">
      <c r="A87" s="5">
        <v>83</v>
      </c>
      <c r="B87" s="6" t="s">
        <v>186</v>
      </c>
      <c r="C87" s="7" t="s">
        <v>334</v>
      </c>
      <c r="D87" s="8" t="s">
        <v>335</v>
      </c>
      <c r="E87" s="9" t="s">
        <v>336</v>
      </c>
      <c r="F87" s="10" t="s">
        <v>17</v>
      </c>
      <c r="G87" s="10" t="s">
        <v>18</v>
      </c>
      <c r="H87" s="10" t="s">
        <v>19</v>
      </c>
      <c r="I87" s="10" t="s">
        <v>20</v>
      </c>
      <c r="J87" s="12" t="s">
        <v>337</v>
      </c>
      <c r="K87" s="13" t="s">
        <v>338</v>
      </c>
    </row>
    <row r="88" spans="1:11" x14ac:dyDescent="0.25">
      <c r="A88" s="25">
        <v>84</v>
      </c>
      <c r="B88" s="25" t="s">
        <v>186</v>
      </c>
      <c r="C88" s="25" t="s">
        <v>339</v>
      </c>
      <c r="D88" s="25" t="s">
        <v>340</v>
      </c>
      <c r="E88" s="25" t="s">
        <v>341</v>
      </c>
      <c r="F88" s="25" t="s">
        <v>17</v>
      </c>
      <c r="G88" s="25" t="s">
        <v>18</v>
      </c>
      <c r="H88" s="25" t="s">
        <v>19</v>
      </c>
      <c r="I88" s="25" t="s">
        <v>20</v>
      </c>
      <c r="J88" s="25" t="s">
        <v>342</v>
      </c>
      <c r="K88" s="25" t="s">
        <v>343</v>
      </c>
    </row>
    <row r="89" spans="1:11" x14ac:dyDescent="0.25">
      <c r="A89" s="5">
        <v>85</v>
      </c>
      <c r="B89" s="6" t="s">
        <v>230</v>
      </c>
      <c r="C89" s="7" t="s">
        <v>344</v>
      </c>
      <c r="D89" s="8" t="s">
        <v>345</v>
      </c>
      <c r="E89" s="9" t="s">
        <v>346</v>
      </c>
      <c r="F89" s="10" t="s">
        <v>17</v>
      </c>
      <c r="G89" s="10" t="s">
        <v>18</v>
      </c>
      <c r="H89" s="10" t="s">
        <v>29</v>
      </c>
      <c r="I89" s="10" t="s">
        <v>30</v>
      </c>
      <c r="J89" s="12" t="s">
        <v>342</v>
      </c>
      <c r="K89" s="13" t="s">
        <v>347</v>
      </c>
    </row>
    <row r="90" spans="1:11" x14ac:dyDescent="0.25">
      <c r="A90" s="25">
        <v>86</v>
      </c>
      <c r="B90" s="25" t="s">
        <v>186</v>
      </c>
      <c r="C90" s="25" t="s">
        <v>348</v>
      </c>
      <c r="D90" s="25" t="s">
        <v>349</v>
      </c>
      <c r="E90" s="25" t="s">
        <v>350</v>
      </c>
      <c r="F90" s="25" t="s">
        <v>268</v>
      </c>
      <c r="G90" s="25" t="s">
        <v>18</v>
      </c>
      <c r="H90" s="25" t="s">
        <v>19</v>
      </c>
      <c r="I90" s="25" t="s">
        <v>20</v>
      </c>
      <c r="J90" s="25" t="s">
        <v>351</v>
      </c>
      <c r="K90" s="25" t="s">
        <v>352</v>
      </c>
    </row>
    <row r="91" spans="1:11" x14ac:dyDescent="0.25">
      <c r="A91" s="26">
        <v>87</v>
      </c>
      <c r="B91" s="26" t="s">
        <v>141</v>
      </c>
      <c r="C91" s="26" t="s">
        <v>353</v>
      </c>
      <c r="D91" s="26" t="s">
        <v>354</v>
      </c>
      <c r="E91" s="26" t="s">
        <v>355</v>
      </c>
      <c r="F91" s="26" t="s">
        <v>268</v>
      </c>
      <c r="G91" s="26" t="s">
        <v>18</v>
      </c>
      <c r="H91" s="26" t="s">
        <v>19</v>
      </c>
      <c r="I91" s="26" t="s">
        <v>309</v>
      </c>
      <c r="J91" s="26" t="s">
        <v>356</v>
      </c>
      <c r="K91" s="26" t="s">
        <v>357</v>
      </c>
    </row>
    <row r="92" spans="1:11" x14ac:dyDescent="0.25">
      <c r="A92" s="26">
        <v>88</v>
      </c>
      <c r="B92" s="26" t="s">
        <v>141</v>
      </c>
      <c r="C92" s="26" t="s">
        <v>358</v>
      </c>
      <c r="D92" s="26" t="s">
        <v>359</v>
      </c>
      <c r="E92" s="26" t="s">
        <v>355</v>
      </c>
      <c r="F92" s="26" t="s">
        <v>268</v>
      </c>
      <c r="G92" s="26" t="s">
        <v>18</v>
      </c>
      <c r="H92" s="26" t="s">
        <v>19</v>
      </c>
      <c r="I92" s="26" t="s">
        <v>309</v>
      </c>
      <c r="J92" s="26" t="s">
        <v>360</v>
      </c>
      <c r="K92" s="26" t="s">
        <v>361</v>
      </c>
    </row>
    <row r="93" spans="1:11" x14ac:dyDescent="0.25">
      <c r="A93" s="26">
        <v>89</v>
      </c>
      <c r="B93" s="26" t="s">
        <v>141</v>
      </c>
      <c r="C93" s="26" t="s">
        <v>362</v>
      </c>
      <c r="D93" s="26" t="s">
        <v>363</v>
      </c>
      <c r="E93" s="26" t="s">
        <v>355</v>
      </c>
      <c r="F93" s="26" t="s">
        <v>268</v>
      </c>
      <c r="G93" s="26" t="s">
        <v>18</v>
      </c>
      <c r="H93" s="26" t="s">
        <v>19</v>
      </c>
      <c r="I93" s="26" t="s">
        <v>309</v>
      </c>
      <c r="J93" s="26" t="s">
        <v>364</v>
      </c>
      <c r="K93" s="26" t="s">
        <v>365</v>
      </c>
    </row>
    <row r="94" spans="1:11" x14ac:dyDescent="0.25">
      <c r="A94" s="26">
        <v>90</v>
      </c>
      <c r="B94" s="26" t="s">
        <v>141</v>
      </c>
      <c r="C94" s="26" t="s">
        <v>366</v>
      </c>
      <c r="D94" s="26" t="s">
        <v>367</v>
      </c>
      <c r="E94" s="26" t="s">
        <v>355</v>
      </c>
      <c r="F94" s="26" t="s">
        <v>268</v>
      </c>
      <c r="G94" s="26" t="s">
        <v>18</v>
      </c>
      <c r="H94" s="26" t="s">
        <v>19</v>
      </c>
      <c r="I94" s="26" t="s">
        <v>309</v>
      </c>
      <c r="J94" s="26" t="s">
        <v>368</v>
      </c>
      <c r="K94" s="26" t="s">
        <v>369</v>
      </c>
    </row>
    <row r="95" spans="1:11" x14ac:dyDescent="0.25">
      <c r="A95" s="26">
        <v>91</v>
      </c>
      <c r="B95" s="26" t="s">
        <v>141</v>
      </c>
      <c r="C95" s="26" t="s">
        <v>370</v>
      </c>
      <c r="D95" s="26" t="s">
        <v>371</v>
      </c>
      <c r="E95" s="26" t="s">
        <v>355</v>
      </c>
      <c r="F95" s="26" t="s">
        <v>268</v>
      </c>
      <c r="G95" s="26" t="s">
        <v>18</v>
      </c>
      <c r="H95" s="26" t="s">
        <v>19</v>
      </c>
      <c r="I95" s="26" t="s">
        <v>309</v>
      </c>
      <c r="J95" s="26" t="s">
        <v>372</v>
      </c>
      <c r="K95" s="26" t="s">
        <v>373</v>
      </c>
    </row>
    <row r="96" spans="1:11" x14ac:dyDescent="0.25">
      <c r="A96" s="26">
        <v>92</v>
      </c>
      <c r="B96" s="26" t="s">
        <v>141</v>
      </c>
      <c r="C96" s="26" t="s">
        <v>374</v>
      </c>
      <c r="D96" s="26" t="s">
        <v>375</v>
      </c>
      <c r="E96" s="26" t="s">
        <v>355</v>
      </c>
      <c r="F96" s="26" t="s">
        <v>268</v>
      </c>
      <c r="G96" s="26" t="s">
        <v>18</v>
      </c>
      <c r="H96" s="26" t="s">
        <v>19</v>
      </c>
      <c r="I96" s="26" t="s">
        <v>309</v>
      </c>
      <c r="J96" s="26" t="s">
        <v>376</v>
      </c>
      <c r="K96" s="26" t="s">
        <v>377</v>
      </c>
    </row>
    <row r="97" spans="1:11" x14ac:dyDescent="0.25">
      <c r="A97" s="26">
        <v>93</v>
      </c>
      <c r="B97" s="26" t="s">
        <v>141</v>
      </c>
      <c r="C97" s="26" t="s">
        <v>378</v>
      </c>
      <c r="D97" s="26" t="s">
        <v>379</v>
      </c>
      <c r="E97" s="26" t="s">
        <v>355</v>
      </c>
      <c r="F97" s="26" t="s">
        <v>268</v>
      </c>
      <c r="G97" s="26" t="s">
        <v>18</v>
      </c>
      <c r="H97" s="26" t="s">
        <v>19</v>
      </c>
      <c r="I97" s="26" t="s">
        <v>309</v>
      </c>
      <c r="J97" s="26" t="s">
        <v>380</v>
      </c>
      <c r="K97" s="26" t="s">
        <v>381</v>
      </c>
    </row>
    <row r="98" spans="1:11" x14ac:dyDescent="0.25">
      <c r="A98" s="26">
        <v>94</v>
      </c>
      <c r="B98" s="26" t="s">
        <v>141</v>
      </c>
      <c r="C98" s="26" t="s">
        <v>382</v>
      </c>
      <c r="D98" s="26" t="s">
        <v>383</v>
      </c>
      <c r="E98" s="26" t="s">
        <v>355</v>
      </c>
      <c r="F98" s="26" t="s">
        <v>268</v>
      </c>
      <c r="G98" s="26" t="s">
        <v>18</v>
      </c>
      <c r="H98" s="26" t="s">
        <v>19</v>
      </c>
      <c r="I98" s="26" t="s">
        <v>309</v>
      </c>
      <c r="J98" s="26" t="s">
        <v>384</v>
      </c>
      <c r="K98" s="26" t="s">
        <v>385</v>
      </c>
    </row>
    <row r="99" spans="1:11" x14ac:dyDescent="0.25">
      <c r="A99" s="26">
        <v>95</v>
      </c>
      <c r="B99" s="26" t="s">
        <v>186</v>
      </c>
      <c r="C99" s="26" t="s">
        <v>386</v>
      </c>
      <c r="D99" s="26" t="s">
        <v>387</v>
      </c>
      <c r="E99" s="26" t="s">
        <v>355</v>
      </c>
      <c r="F99" s="26" t="s">
        <v>268</v>
      </c>
      <c r="G99" s="26" t="s">
        <v>18</v>
      </c>
      <c r="H99" s="26" t="s">
        <v>19</v>
      </c>
      <c r="I99" s="26" t="s">
        <v>309</v>
      </c>
      <c r="J99" s="26" t="s">
        <v>388</v>
      </c>
      <c r="K99" s="26" t="s">
        <v>389</v>
      </c>
    </row>
    <row r="100" spans="1:11" x14ac:dyDescent="0.25">
      <c r="A100" s="26">
        <v>96</v>
      </c>
      <c r="B100" s="26" t="s">
        <v>166</v>
      </c>
      <c r="C100" s="26" t="s">
        <v>390</v>
      </c>
      <c r="D100" s="26" t="s">
        <v>391</v>
      </c>
      <c r="E100" s="26" t="s">
        <v>355</v>
      </c>
      <c r="F100" s="26" t="s">
        <v>268</v>
      </c>
      <c r="G100" s="26" t="s">
        <v>18</v>
      </c>
      <c r="H100" s="26" t="s">
        <v>19</v>
      </c>
      <c r="I100" s="26" t="s">
        <v>309</v>
      </c>
      <c r="J100" s="26" t="s">
        <v>392</v>
      </c>
      <c r="K100" s="26" t="s">
        <v>393</v>
      </c>
    </row>
    <row r="101" spans="1:11" x14ac:dyDescent="0.25">
      <c r="A101" s="26">
        <v>97</v>
      </c>
      <c r="B101" s="26" t="s">
        <v>166</v>
      </c>
      <c r="C101" s="26" t="s">
        <v>394</v>
      </c>
      <c r="D101" s="26" t="s">
        <v>395</v>
      </c>
      <c r="E101" s="26" t="s">
        <v>355</v>
      </c>
      <c r="F101" s="26" t="s">
        <v>268</v>
      </c>
      <c r="G101" s="26" t="s">
        <v>18</v>
      </c>
      <c r="H101" s="26" t="s">
        <v>19</v>
      </c>
      <c r="I101" s="26" t="s">
        <v>309</v>
      </c>
      <c r="J101" s="26" t="s">
        <v>396</v>
      </c>
      <c r="K101" s="26" t="s">
        <v>397</v>
      </c>
    </row>
    <row r="102" spans="1:11" x14ac:dyDescent="0.25">
      <c r="A102" s="26">
        <v>98</v>
      </c>
      <c r="B102" s="26" t="s">
        <v>166</v>
      </c>
      <c r="C102" s="26" t="s">
        <v>398</v>
      </c>
      <c r="D102" s="26" t="s">
        <v>399</v>
      </c>
      <c r="E102" s="26" t="s">
        <v>355</v>
      </c>
      <c r="F102" s="26" t="s">
        <v>268</v>
      </c>
      <c r="G102" s="26" t="s">
        <v>18</v>
      </c>
      <c r="H102" s="26" t="s">
        <v>19</v>
      </c>
      <c r="I102" s="26" t="s">
        <v>309</v>
      </c>
      <c r="J102" s="26" t="s">
        <v>400</v>
      </c>
      <c r="K102" s="26" t="s">
        <v>401</v>
      </c>
    </row>
    <row r="103" spans="1:11" x14ac:dyDescent="0.25">
      <c r="A103" s="26">
        <v>99</v>
      </c>
      <c r="B103" s="26" t="s">
        <v>166</v>
      </c>
      <c r="C103" s="26" t="s">
        <v>402</v>
      </c>
      <c r="D103" s="26" t="s">
        <v>403</v>
      </c>
      <c r="E103" s="26" t="s">
        <v>355</v>
      </c>
      <c r="F103" s="26" t="s">
        <v>268</v>
      </c>
      <c r="G103" s="26" t="s">
        <v>18</v>
      </c>
      <c r="H103" s="26" t="s">
        <v>19</v>
      </c>
      <c r="I103" s="26" t="s">
        <v>309</v>
      </c>
      <c r="J103" s="26" t="s">
        <v>404</v>
      </c>
      <c r="K103" s="26" t="s">
        <v>405</v>
      </c>
    </row>
    <row r="104" spans="1:11" x14ac:dyDescent="0.25">
      <c r="A104" s="26">
        <v>100</v>
      </c>
      <c r="B104" s="26" t="s">
        <v>166</v>
      </c>
      <c r="C104" s="26" t="s">
        <v>406</v>
      </c>
      <c r="D104" s="26" t="s">
        <v>407</v>
      </c>
      <c r="E104" s="26" t="s">
        <v>355</v>
      </c>
      <c r="F104" s="26" t="s">
        <v>268</v>
      </c>
      <c r="G104" s="26" t="s">
        <v>18</v>
      </c>
      <c r="H104" s="26" t="s">
        <v>19</v>
      </c>
      <c r="I104" s="26" t="s">
        <v>309</v>
      </c>
      <c r="J104" s="26" t="s">
        <v>408</v>
      </c>
      <c r="K104" s="26" t="s">
        <v>409</v>
      </c>
    </row>
    <row r="105" spans="1:11" x14ac:dyDescent="0.25">
      <c r="A105" s="26">
        <v>101</v>
      </c>
      <c r="B105" s="26" t="s">
        <v>230</v>
      </c>
      <c r="C105" s="26" t="s">
        <v>410</v>
      </c>
      <c r="D105" s="26" t="s">
        <v>411</v>
      </c>
      <c r="E105" s="26" t="s">
        <v>355</v>
      </c>
      <c r="F105" s="26" t="s">
        <v>268</v>
      </c>
      <c r="G105" s="26" t="s">
        <v>18</v>
      </c>
      <c r="H105" s="26" t="s">
        <v>19</v>
      </c>
      <c r="I105" s="26" t="s">
        <v>309</v>
      </c>
      <c r="J105" s="26" t="s">
        <v>412</v>
      </c>
      <c r="K105" s="26" t="s">
        <v>413</v>
      </c>
    </row>
    <row r="106" spans="1:11" x14ac:dyDescent="0.25">
      <c r="A106" s="26">
        <v>102</v>
      </c>
      <c r="B106" s="26" t="s">
        <v>230</v>
      </c>
      <c r="C106" s="26" t="s">
        <v>414</v>
      </c>
      <c r="D106" s="26" t="s">
        <v>415</v>
      </c>
      <c r="E106" s="26" t="s">
        <v>355</v>
      </c>
      <c r="F106" s="26" t="s">
        <v>268</v>
      </c>
      <c r="G106" s="26" t="s">
        <v>18</v>
      </c>
      <c r="H106" s="26" t="s">
        <v>19</v>
      </c>
      <c r="I106" s="26" t="s">
        <v>309</v>
      </c>
      <c r="J106" s="26" t="s">
        <v>416</v>
      </c>
      <c r="K106" s="26" t="s">
        <v>417</v>
      </c>
    </row>
    <row r="107" spans="1:11" x14ac:dyDescent="0.25">
      <c r="A107" s="26">
        <v>103</v>
      </c>
      <c r="B107" s="26" t="s">
        <v>230</v>
      </c>
      <c r="C107" s="26" t="s">
        <v>418</v>
      </c>
      <c r="D107" s="26" t="s">
        <v>419</v>
      </c>
      <c r="E107" s="26" t="s">
        <v>355</v>
      </c>
      <c r="F107" s="26" t="s">
        <v>268</v>
      </c>
      <c r="G107" s="26" t="s">
        <v>18</v>
      </c>
      <c r="H107" s="26" t="s">
        <v>19</v>
      </c>
      <c r="I107" s="26" t="s">
        <v>309</v>
      </c>
      <c r="J107" s="26" t="s">
        <v>420</v>
      </c>
      <c r="K107" s="26" t="s">
        <v>421</v>
      </c>
    </row>
    <row r="108" spans="1:11" x14ac:dyDescent="0.25">
      <c r="A108" s="26">
        <v>104</v>
      </c>
      <c r="B108" s="26" t="s">
        <v>230</v>
      </c>
      <c r="C108" s="26" t="s">
        <v>422</v>
      </c>
      <c r="D108" s="26" t="s">
        <v>423</v>
      </c>
      <c r="E108" s="26" t="s">
        <v>355</v>
      </c>
      <c r="F108" s="26" t="s">
        <v>268</v>
      </c>
      <c r="G108" s="26" t="s">
        <v>18</v>
      </c>
      <c r="H108" s="26" t="s">
        <v>19</v>
      </c>
      <c r="I108" s="26" t="s">
        <v>309</v>
      </c>
      <c r="J108" s="26" t="s">
        <v>424</v>
      </c>
      <c r="K108" s="26" t="s">
        <v>425</v>
      </c>
    </row>
  </sheetData>
  <autoFilter ref="A4:K4"/>
  <mergeCells count="2">
    <mergeCell ref="A1:K1"/>
    <mergeCell ref="A2:K2"/>
  </mergeCells>
  <dataValidations count="8">
    <dataValidation type="list" sqref="F10:F79">
      <formula1>"Existing,DevOps Backlog,New Requirement"</formula1>
    </dataValidation>
    <dataValidation type="list" sqref="F5:F79">
      <formula1>"Existing,DevOps Backlog,New Requirement"</formula1>
    </dataValidation>
    <dataValidation type="list" sqref="G10:G79">
      <formula1>"Done,In Progress,Not Started,Backlog,Blocked"</formula1>
    </dataValidation>
    <dataValidation type="list" sqref="G5:G79">
      <formula1>"Done,In Progress,Not Started,Backlog,Blocked"</formula1>
    </dataValidation>
    <dataValidation type="list" sqref="H10:H79">
      <formula1>"Yes,No,Partial,N/A"</formula1>
    </dataValidation>
    <dataValidation type="list" sqref="H5:H79">
      <formula1>"Yes,No,Partial,N/A"</formula1>
    </dataValidation>
    <dataValidation type="list" sqref="I10:I79">
      <formula1>"Not Tested,In Progress,Passed,Failed,Blocked"</formula1>
    </dataValidation>
    <dataValidation type="list" sqref="I5:I79">
      <formula1>"Not Tested,In Progress,Passed,Failed,Blocked"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4" max="4" width="16" customWidth="1"/>
    <col min="5" max="5" width="6" customWidth="1"/>
    <col min="6" max="6" width="32" customWidth="1"/>
    <col min="7" max="7" width="20" customWidth="1"/>
    <col min="8" max="8" width="30" customWidth="1"/>
    <col min="9" max="9" width="12" customWidth="1"/>
  </cols>
  <sheetData>
    <row r="1" ht="28" customHeight="1" spans="1:9" x14ac:dyDescent="0.25">
      <c r="A1" s="27" t="s">
        <v>426</v>
      </c>
      <c r="B1" s="27"/>
      <c r="C1" s="27"/>
      <c r="D1" s="27"/>
      <c r="E1" s="27"/>
      <c r="F1" s="27"/>
      <c r="G1" s="27"/>
      <c r="H1" s="27"/>
      <c r="I1" s="27"/>
    </row>
    <row r="2" ht="26" customHeight="1" spans="1:9" x14ac:dyDescent="0.25">
      <c r="A2" s="28" t="s">
        <v>427</v>
      </c>
      <c r="B2" s="28"/>
      <c r="C2" s="28"/>
      <c r="D2" s="28"/>
      <c r="E2" s="28"/>
      <c r="F2" s="28"/>
      <c r="G2" s="28"/>
      <c r="H2" s="28"/>
      <c r="I2" s="28"/>
    </row>
    <row r="3" ht="22" customHeight="1" spans="1:9" x14ac:dyDescent="0.25">
      <c r="A3" s="29" t="s">
        <v>428</v>
      </c>
      <c r="B3" s="29"/>
      <c r="C3" s="29"/>
      <c r="D3" s="29"/>
      <c r="E3" s="29"/>
      <c r="F3" s="29"/>
      <c r="G3" s="29"/>
      <c r="H3" s="29"/>
      <c r="I3" s="29"/>
    </row>
    <row r="4" ht="18" customHeight="1" spans="1:9" x14ac:dyDescent="0.25">
      <c r="A4" s="30" t="s">
        <v>429</v>
      </c>
      <c r="B4" s="30" t="s">
        <v>430</v>
      </c>
      <c r="C4" s="30" t="s">
        <v>431</v>
      </c>
      <c r="D4" s="30" t="s">
        <v>432</v>
      </c>
      <c r="E4" s="30" t="s">
        <v>433</v>
      </c>
      <c r="F4" s="30" t="s">
        <v>434</v>
      </c>
      <c r="G4" s="30" t="s">
        <v>435</v>
      </c>
      <c r="H4" s="30" t="s">
        <v>436</v>
      </c>
      <c r="I4" s="30" t="s">
        <v>22</v>
      </c>
    </row>
    <row r="5" spans="1:8" x14ac:dyDescent="0.25">
      <c r="A5" s="31" t="s">
        <v>21</v>
      </c>
      <c r="B5" s="32" t="s">
        <v>437</v>
      </c>
      <c r="C5" s="33" t="s">
        <v>438</v>
      </c>
      <c r="D5" s="34" t="s">
        <v>439</v>
      </c>
      <c r="E5" s="33">
        <v>3</v>
      </c>
      <c r="F5" s="32" t="s">
        <v>14</v>
      </c>
      <c r="G5" s="35" t="s">
        <v>440</v>
      </c>
      <c r="H5" s="32" t="s">
        <v>22</v>
      </c>
    </row>
    <row r="6" spans="1:8" x14ac:dyDescent="0.25">
      <c r="A6" s="36" t="s">
        <v>40</v>
      </c>
      <c r="B6" s="37" t="s">
        <v>441</v>
      </c>
      <c r="C6" s="38" t="s">
        <v>438</v>
      </c>
      <c r="D6" s="39" t="s">
        <v>442</v>
      </c>
      <c r="E6" s="38">
        <v>2</v>
      </c>
      <c r="F6" s="37" t="s">
        <v>443</v>
      </c>
      <c r="G6" s="35" t="s">
        <v>440</v>
      </c>
      <c r="H6" s="37" t="s">
        <v>22</v>
      </c>
    </row>
    <row r="7" spans="1:8" x14ac:dyDescent="0.25">
      <c r="A7" s="31" t="s">
        <v>444</v>
      </c>
      <c r="B7" s="32" t="s">
        <v>445</v>
      </c>
      <c r="C7" s="33" t="s">
        <v>438</v>
      </c>
      <c r="D7" s="34" t="s">
        <v>439</v>
      </c>
      <c r="E7" s="33">
        <v>2</v>
      </c>
      <c r="F7" s="32" t="s">
        <v>446</v>
      </c>
      <c r="G7" s="35" t="s">
        <v>440</v>
      </c>
      <c r="H7" s="32" t="s">
        <v>22</v>
      </c>
    </row>
    <row r="8" spans="1:8" x14ac:dyDescent="0.25">
      <c r="A8" s="36" t="s">
        <v>44</v>
      </c>
      <c r="B8" s="37" t="s">
        <v>447</v>
      </c>
      <c r="C8" s="38" t="s">
        <v>448</v>
      </c>
      <c r="D8" s="39" t="s">
        <v>449</v>
      </c>
      <c r="E8" s="38">
        <v>3</v>
      </c>
      <c r="F8" s="37" t="s">
        <v>41</v>
      </c>
      <c r="G8" s="35" t="s">
        <v>440</v>
      </c>
      <c r="H8" s="37" t="s">
        <v>22</v>
      </c>
    </row>
    <row r="9" spans="1:8" x14ac:dyDescent="0.25">
      <c r="A9" s="31" t="s">
        <v>36</v>
      </c>
      <c r="B9" s="32" t="s">
        <v>450</v>
      </c>
      <c r="C9" s="33" t="s">
        <v>438</v>
      </c>
      <c r="D9" s="34" t="s">
        <v>442</v>
      </c>
      <c r="E9" s="33">
        <v>3</v>
      </c>
      <c r="F9" s="32" t="s">
        <v>451</v>
      </c>
      <c r="G9" s="35" t="s">
        <v>440</v>
      </c>
      <c r="H9" s="32" t="s">
        <v>22</v>
      </c>
    </row>
    <row r="10" spans="1:8" x14ac:dyDescent="0.25">
      <c r="A10" s="36" t="s">
        <v>97</v>
      </c>
      <c r="B10" s="37" t="s">
        <v>452</v>
      </c>
      <c r="C10" s="38" t="s">
        <v>448</v>
      </c>
      <c r="D10" s="39" t="s">
        <v>453</v>
      </c>
      <c r="E10" s="38">
        <v>2</v>
      </c>
      <c r="F10" s="37" t="s">
        <v>94</v>
      </c>
      <c r="G10" s="35" t="s">
        <v>440</v>
      </c>
      <c r="H10" s="37" t="s">
        <v>22</v>
      </c>
    </row>
    <row r="11" spans="1:8" x14ac:dyDescent="0.25">
      <c r="A11" s="31" t="s">
        <v>74</v>
      </c>
      <c r="B11" s="32" t="s">
        <v>454</v>
      </c>
      <c r="C11" s="33" t="s">
        <v>448</v>
      </c>
      <c r="D11" s="34" t="s">
        <v>453</v>
      </c>
      <c r="E11" s="33">
        <v>3</v>
      </c>
      <c r="F11" s="32" t="s">
        <v>71</v>
      </c>
      <c r="G11" s="35" t="s">
        <v>440</v>
      </c>
      <c r="H11" s="32" t="s">
        <v>22</v>
      </c>
    </row>
    <row r="12" spans="1:8" x14ac:dyDescent="0.25">
      <c r="A12" s="36" t="s">
        <v>78</v>
      </c>
      <c r="B12" s="37" t="s">
        <v>455</v>
      </c>
      <c r="C12" s="38" t="s">
        <v>448</v>
      </c>
      <c r="D12" s="39" t="s">
        <v>439</v>
      </c>
      <c r="E12" s="38">
        <v>3</v>
      </c>
      <c r="F12" s="37" t="s">
        <v>75</v>
      </c>
      <c r="G12" s="35" t="s">
        <v>440</v>
      </c>
      <c r="H12" s="37" t="s">
        <v>22</v>
      </c>
    </row>
    <row r="13" spans="1:8" x14ac:dyDescent="0.25">
      <c r="A13" s="31" t="s">
        <v>81</v>
      </c>
      <c r="B13" s="32" t="s">
        <v>456</v>
      </c>
      <c r="C13" s="33" t="s">
        <v>457</v>
      </c>
      <c r="D13" s="34" t="s">
        <v>439</v>
      </c>
      <c r="E13" s="33">
        <v>2</v>
      </c>
      <c r="F13" s="32" t="s">
        <v>79</v>
      </c>
      <c r="G13" s="35" t="s">
        <v>440</v>
      </c>
      <c r="H13" s="32" t="s">
        <v>22</v>
      </c>
    </row>
    <row r="14" spans="1:8" x14ac:dyDescent="0.25">
      <c r="A14" s="36" t="s">
        <v>85</v>
      </c>
      <c r="B14" s="37" t="s">
        <v>458</v>
      </c>
      <c r="C14" s="38" t="s">
        <v>448</v>
      </c>
      <c r="D14" s="39" t="s">
        <v>439</v>
      </c>
      <c r="E14" s="38">
        <v>2</v>
      </c>
      <c r="F14" s="37" t="s">
        <v>82</v>
      </c>
      <c r="G14" s="35" t="s">
        <v>440</v>
      </c>
      <c r="H14" s="37" t="s">
        <v>22</v>
      </c>
    </row>
    <row r="15" spans="1:8" x14ac:dyDescent="0.25">
      <c r="A15" s="31" t="s">
        <v>89</v>
      </c>
      <c r="B15" s="32" t="s">
        <v>459</v>
      </c>
      <c r="C15" s="33" t="s">
        <v>448</v>
      </c>
      <c r="D15" s="34" t="s">
        <v>439</v>
      </c>
      <c r="E15" s="33">
        <v>2</v>
      </c>
      <c r="F15" s="32" t="s">
        <v>86</v>
      </c>
      <c r="G15" s="35" t="s">
        <v>440</v>
      </c>
      <c r="H15" s="32" t="s">
        <v>22</v>
      </c>
    </row>
    <row r="16" spans="1:8" x14ac:dyDescent="0.25">
      <c r="A16" s="36" t="s">
        <v>66</v>
      </c>
      <c r="B16" s="37" t="s">
        <v>460</v>
      </c>
      <c r="C16" s="38" t="s">
        <v>438</v>
      </c>
      <c r="D16" s="39" t="s">
        <v>442</v>
      </c>
      <c r="E16" s="38">
        <v>3</v>
      </c>
      <c r="F16" s="37" t="s">
        <v>461</v>
      </c>
      <c r="G16" s="35" t="s">
        <v>440</v>
      </c>
      <c r="H16" s="37" t="s">
        <v>22</v>
      </c>
    </row>
    <row r="17" spans="1:8" x14ac:dyDescent="0.25">
      <c r="A17" s="31" t="s">
        <v>55</v>
      </c>
      <c r="B17" s="32" t="s">
        <v>462</v>
      </c>
      <c r="C17" s="33" t="s">
        <v>438</v>
      </c>
      <c r="D17" s="34" t="s">
        <v>442</v>
      </c>
      <c r="E17" s="33">
        <v>3</v>
      </c>
      <c r="F17" s="32" t="s">
        <v>463</v>
      </c>
      <c r="G17" s="35" t="s">
        <v>440</v>
      </c>
      <c r="H17" s="32" t="s">
        <v>22</v>
      </c>
    </row>
    <row r="18" spans="1:8" x14ac:dyDescent="0.25">
      <c r="A18" s="36" t="s">
        <v>174</v>
      </c>
      <c r="B18" s="37" t="s">
        <v>464</v>
      </c>
      <c r="C18" s="38" t="s">
        <v>438</v>
      </c>
      <c r="D18" s="40" t="s">
        <v>465</v>
      </c>
      <c r="E18" s="38">
        <v>3</v>
      </c>
      <c r="F18" s="37" t="s">
        <v>175</v>
      </c>
      <c r="G18" s="35" t="s">
        <v>440</v>
      </c>
      <c r="H18" s="37" t="s">
        <v>466</v>
      </c>
    </row>
    <row r="19" spans="1:8" x14ac:dyDescent="0.25">
      <c r="A19" s="31" t="s">
        <v>467</v>
      </c>
      <c r="B19" s="32" t="s">
        <v>468</v>
      </c>
      <c r="C19" s="33" t="s">
        <v>438</v>
      </c>
      <c r="D19" s="41" t="s">
        <v>465</v>
      </c>
      <c r="E19" s="33">
        <v>3</v>
      </c>
      <c r="F19" s="32" t="s">
        <v>118</v>
      </c>
      <c r="G19" s="35" t="s">
        <v>440</v>
      </c>
      <c r="H19" s="32" t="s">
        <v>466</v>
      </c>
    </row>
    <row r="20" spans="1:8" x14ac:dyDescent="0.25">
      <c r="A20" s="36" t="s">
        <v>185</v>
      </c>
      <c r="B20" s="37" t="s">
        <v>469</v>
      </c>
      <c r="C20" s="38" t="s">
        <v>438</v>
      </c>
      <c r="D20" s="42" t="s">
        <v>465</v>
      </c>
      <c r="E20" s="38">
        <v>5</v>
      </c>
      <c r="F20" s="37" t="s">
        <v>470</v>
      </c>
      <c r="G20" s="35" t="s">
        <v>440</v>
      </c>
      <c r="H20" s="37" t="s">
        <v>466</v>
      </c>
    </row>
    <row r="21" spans="1:8" x14ac:dyDescent="0.25">
      <c r="A21" s="31" t="s">
        <v>471</v>
      </c>
      <c r="B21" s="32" t="s">
        <v>472</v>
      </c>
      <c r="C21" s="33" t="s">
        <v>438</v>
      </c>
      <c r="D21" s="43" t="s">
        <v>465</v>
      </c>
      <c r="E21" s="33">
        <v>3</v>
      </c>
      <c r="F21" s="32" t="s">
        <v>473</v>
      </c>
      <c r="G21" s="35" t="s">
        <v>440</v>
      </c>
      <c r="H21" s="32" t="s">
        <v>466</v>
      </c>
    </row>
    <row r="22" spans="1:8" x14ac:dyDescent="0.25">
      <c r="A22" s="36" t="s">
        <v>104</v>
      </c>
      <c r="B22" s="37" t="s">
        <v>474</v>
      </c>
      <c r="C22" s="38" t="s">
        <v>448</v>
      </c>
      <c r="D22" s="39" t="s">
        <v>442</v>
      </c>
      <c r="E22" s="38">
        <v>5</v>
      </c>
      <c r="F22" s="37" t="s">
        <v>475</v>
      </c>
      <c r="G22" s="35" t="s">
        <v>440</v>
      </c>
      <c r="H22" s="37" t="s">
        <v>22</v>
      </c>
    </row>
    <row r="23" spans="1:8" x14ac:dyDescent="0.25">
      <c r="A23" s="31" t="s">
        <v>112</v>
      </c>
      <c r="B23" s="32" t="s">
        <v>476</v>
      </c>
      <c r="C23" s="33" t="s">
        <v>448</v>
      </c>
      <c r="D23" s="34" t="s">
        <v>465</v>
      </c>
      <c r="E23" s="33">
        <v>3</v>
      </c>
      <c r="F23" s="32" t="s">
        <v>109</v>
      </c>
      <c r="G23" s="35" t="s">
        <v>440</v>
      </c>
      <c r="H23" s="32" t="s">
        <v>22</v>
      </c>
    </row>
    <row r="24" spans="1:8" x14ac:dyDescent="0.25">
      <c r="A24" s="36" t="s">
        <v>108</v>
      </c>
      <c r="B24" s="37" t="s">
        <v>477</v>
      </c>
      <c r="C24" s="38" t="s">
        <v>448</v>
      </c>
      <c r="D24" s="39" t="s">
        <v>442</v>
      </c>
      <c r="E24" s="38">
        <v>3</v>
      </c>
      <c r="F24" s="37" t="s">
        <v>105</v>
      </c>
      <c r="G24" s="35" t="s">
        <v>440</v>
      </c>
      <c r="H24" s="37" t="s">
        <v>22</v>
      </c>
    </row>
    <row r="25" spans="1:8" x14ac:dyDescent="0.25">
      <c r="A25" s="31" t="s">
        <v>478</v>
      </c>
      <c r="B25" s="32" t="s">
        <v>479</v>
      </c>
      <c r="C25" s="33" t="s">
        <v>438</v>
      </c>
      <c r="D25" s="34" t="s">
        <v>442</v>
      </c>
      <c r="E25" s="33">
        <v>3</v>
      </c>
      <c r="F25" s="32" t="s">
        <v>158</v>
      </c>
      <c r="G25" s="35" t="s">
        <v>440</v>
      </c>
      <c r="H25" s="32" t="s">
        <v>22</v>
      </c>
    </row>
    <row r="26" spans="1:8" x14ac:dyDescent="0.25">
      <c r="A26" s="36" t="s">
        <v>480</v>
      </c>
      <c r="B26" s="37" t="s">
        <v>481</v>
      </c>
      <c r="C26" s="38" t="s">
        <v>448</v>
      </c>
      <c r="D26" s="39" t="s">
        <v>482</v>
      </c>
      <c r="E26" s="38">
        <v>2</v>
      </c>
      <c r="F26" s="37" t="s">
        <v>483</v>
      </c>
      <c r="G26" s="35" t="s">
        <v>440</v>
      </c>
      <c r="H26" s="37" t="s">
        <v>484</v>
      </c>
    </row>
    <row r="27" spans="1:8" x14ac:dyDescent="0.25">
      <c r="A27" s="31" t="s">
        <v>165</v>
      </c>
      <c r="B27" s="32" t="s">
        <v>485</v>
      </c>
      <c r="C27" s="33" t="s">
        <v>438</v>
      </c>
      <c r="D27" s="34" t="s">
        <v>442</v>
      </c>
      <c r="E27" s="33">
        <v>3</v>
      </c>
      <c r="F27" s="32" t="s">
        <v>162</v>
      </c>
      <c r="G27" s="35" t="s">
        <v>440</v>
      </c>
      <c r="H27" s="32" t="s">
        <v>22</v>
      </c>
    </row>
    <row r="28" spans="1:8" x14ac:dyDescent="0.25">
      <c r="A28" s="36" t="s">
        <v>93</v>
      </c>
      <c r="B28" s="37" t="s">
        <v>486</v>
      </c>
      <c r="C28" s="38" t="s">
        <v>448</v>
      </c>
      <c r="D28" s="39" t="s">
        <v>442</v>
      </c>
      <c r="E28" s="38">
        <v>3</v>
      </c>
      <c r="F28" s="37" t="s">
        <v>90</v>
      </c>
      <c r="G28" s="35" t="s">
        <v>440</v>
      </c>
      <c r="H28" s="37" t="s">
        <v>22</v>
      </c>
    </row>
    <row r="29" spans="1:8" x14ac:dyDescent="0.25">
      <c r="A29" s="31" t="s">
        <v>487</v>
      </c>
      <c r="B29" s="32" t="s">
        <v>488</v>
      </c>
      <c r="C29" s="33" t="s">
        <v>457</v>
      </c>
      <c r="D29" s="34" t="s">
        <v>442</v>
      </c>
      <c r="E29" s="33">
        <v>3</v>
      </c>
      <c r="F29" s="32" t="s">
        <v>489</v>
      </c>
      <c r="G29" s="35" t="s">
        <v>440</v>
      </c>
      <c r="H29" s="32" t="s">
        <v>22</v>
      </c>
    </row>
    <row r="30" spans="1:8" x14ac:dyDescent="0.25">
      <c r="A30" s="36" t="s">
        <v>145</v>
      </c>
      <c r="B30" s="37" t="s">
        <v>490</v>
      </c>
      <c r="C30" s="38" t="s">
        <v>448</v>
      </c>
      <c r="D30" s="39" t="s">
        <v>439</v>
      </c>
      <c r="E30" s="38">
        <v>3</v>
      </c>
      <c r="F30" s="37" t="s">
        <v>142</v>
      </c>
      <c r="G30" s="35" t="s">
        <v>440</v>
      </c>
      <c r="H30" s="37" t="s">
        <v>22</v>
      </c>
    </row>
    <row r="31" spans="1:8" x14ac:dyDescent="0.25">
      <c r="A31" s="31" t="s">
        <v>157</v>
      </c>
      <c r="B31" s="32" t="s">
        <v>491</v>
      </c>
      <c r="C31" s="33" t="s">
        <v>448</v>
      </c>
      <c r="D31" s="34" t="s">
        <v>482</v>
      </c>
      <c r="E31" s="33">
        <v>5</v>
      </c>
      <c r="F31" s="32" t="s">
        <v>154</v>
      </c>
      <c r="G31" s="35" t="s">
        <v>440</v>
      </c>
      <c r="H31" s="32" t="s">
        <v>492</v>
      </c>
    </row>
    <row r="32" spans="1:8" x14ac:dyDescent="0.25">
      <c r="A32" s="36" t="s">
        <v>149</v>
      </c>
      <c r="B32" s="37" t="s">
        <v>493</v>
      </c>
      <c r="C32" s="38" t="s">
        <v>457</v>
      </c>
      <c r="D32" s="39" t="s">
        <v>442</v>
      </c>
      <c r="E32" s="38">
        <v>3</v>
      </c>
      <c r="F32" s="37" t="s">
        <v>146</v>
      </c>
      <c r="G32" s="35" t="s">
        <v>440</v>
      </c>
      <c r="H32" s="37" t="s">
        <v>22</v>
      </c>
    </row>
    <row r="33" spans="1:8" x14ac:dyDescent="0.25">
      <c r="A33" s="31" t="s">
        <v>153</v>
      </c>
      <c r="B33" s="32" t="s">
        <v>494</v>
      </c>
      <c r="C33" s="33" t="s">
        <v>448</v>
      </c>
      <c r="D33" s="34" t="s">
        <v>442</v>
      </c>
      <c r="E33" s="33">
        <v>3</v>
      </c>
      <c r="F33" s="32" t="s">
        <v>150</v>
      </c>
      <c r="G33" s="35" t="s">
        <v>440</v>
      </c>
      <c r="H33" s="32" t="s">
        <v>22</v>
      </c>
    </row>
    <row r="34" spans="1:8" x14ac:dyDescent="0.25">
      <c r="A34" s="36" t="s">
        <v>495</v>
      </c>
      <c r="B34" s="37" t="s">
        <v>496</v>
      </c>
      <c r="C34" s="38" t="s">
        <v>438</v>
      </c>
      <c r="D34" s="39" t="s">
        <v>442</v>
      </c>
      <c r="E34" s="38">
        <v>5</v>
      </c>
      <c r="F34" s="37" t="s">
        <v>497</v>
      </c>
      <c r="G34" s="35" t="s">
        <v>440</v>
      </c>
      <c r="H34" s="37" t="s">
        <v>22</v>
      </c>
    </row>
    <row r="35" spans="1:8" x14ac:dyDescent="0.25">
      <c r="A35" s="31" t="s">
        <v>498</v>
      </c>
      <c r="B35" s="32" t="s">
        <v>499</v>
      </c>
      <c r="C35" s="33" t="s">
        <v>438</v>
      </c>
      <c r="D35" s="34" t="s">
        <v>453</v>
      </c>
      <c r="E35" s="33">
        <v>5</v>
      </c>
      <c r="F35" s="32" t="s">
        <v>500</v>
      </c>
      <c r="G35" s="35" t="s">
        <v>440</v>
      </c>
      <c r="H35" s="32" t="s">
        <v>22</v>
      </c>
    </row>
    <row r="36" spans="1:8" x14ac:dyDescent="0.25">
      <c r="A36" s="36" t="s">
        <v>262</v>
      </c>
      <c r="B36" s="37" t="s">
        <v>501</v>
      </c>
      <c r="C36" s="38" t="s">
        <v>448</v>
      </c>
      <c r="D36" s="39" t="s">
        <v>442</v>
      </c>
      <c r="E36" s="38">
        <v>3</v>
      </c>
      <c r="F36" s="37" t="s">
        <v>259</v>
      </c>
      <c r="G36" s="35" t="s">
        <v>440</v>
      </c>
      <c r="H36" s="37" t="s">
        <v>22</v>
      </c>
    </row>
    <row r="37" spans="1:8" x14ac:dyDescent="0.25">
      <c r="A37" s="31" t="s">
        <v>190</v>
      </c>
      <c r="B37" s="32" t="s">
        <v>502</v>
      </c>
      <c r="C37" s="33" t="s">
        <v>438</v>
      </c>
      <c r="D37" s="34" t="s">
        <v>442</v>
      </c>
      <c r="E37" s="33">
        <v>5</v>
      </c>
      <c r="F37" s="32" t="s">
        <v>503</v>
      </c>
      <c r="G37" s="35" t="s">
        <v>440</v>
      </c>
      <c r="H37" s="32" t="s">
        <v>22</v>
      </c>
    </row>
    <row r="38" spans="1:8" x14ac:dyDescent="0.25">
      <c r="A38" s="36" t="s">
        <v>194</v>
      </c>
      <c r="B38" s="37" t="s">
        <v>504</v>
      </c>
      <c r="C38" s="38" t="s">
        <v>438</v>
      </c>
      <c r="D38" s="39" t="s">
        <v>465</v>
      </c>
      <c r="E38" s="38">
        <v>3</v>
      </c>
      <c r="F38" s="37" t="s">
        <v>191</v>
      </c>
      <c r="G38" s="35" t="s">
        <v>440</v>
      </c>
      <c r="H38" s="37" t="s">
        <v>22</v>
      </c>
    </row>
    <row r="39" spans="1:8" x14ac:dyDescent="0.25">
      <c r="A39" s="31" t="s">
        <v>211</v>
      </c>
      <c r="B39" s="32" t="s">
        <v>505</v>
      </c>
      <c r="C39" s="33" t="s">
        <v>448</v>
      </c>
      <c r="D39" s="34" t="s">
        <v>442</v>
      </c>
      <c r="E39" s="33">
        <v>3</v>
      </c>
      <c r="F39" s="32" t="s">
        <v>208</v>
      </c>
      <c r="G39" s="35" t="s">
        <v>440</v>
      </c>
      <c r="H39" s="32" t="s">
        <v>22</v>
      </c>
    </row>
    <row r="40" spans="1:8" x14ac:dyDescent="0.25">
      <c r="A40" s="36" t="s">
        <v>215</v>
      </c>
      <c r="B40" s="37" t="s">
        <v>506</v>
      </c>
      <c r="C40" s="38" t="s">
        <v>457</v>
      </c>
      <c r="D40" s="39" t="s">
        <v>442</v>
      </c>
      <c r="E40" s="38">
        <v>2</v>
      </c>
      <c r="F40" s="37" t="s">
        <v>507</v>
      </c>
      <c r="G40" s="35" t="s">
        <v>440</v>
      </c>
      <c r="H40" s="37" t="s">
        <v>22</v>
      </c>
    </row>
    <row r="41" spans="1:8" x14ac:dyDescent="0.25">
      <c r="A41" s="31" t="s">
        <v>223</v>
      </c>
      <c r="B41" s="32" t="s">
        <v>508</v>
      </c>
      <c r="C41" s="33" t="s">
        <v>457</v>
      </c>
      <c r="D41" s="34" t="s">
        <v>442</v>
      </c>
      <c r="E41" s="33">
        <v>3</v>
      </c>
      <c r="F41" s="32" t="s">
        <v>509</v>
      </c>
      <c r="G41" s="35" t="s">
        <v>510</v>
      </c>
      <c r="H41" s="32" t="s">
        <v>511</v>
      </c>
    </row>
    <row r="42" spans="1:8" x14ac:dyDescent="0.25">
      <c r="A42" s="36" t="s">
        <v>238</v>
      </c>
      <c r="B42" s="37" t="s">
        <v>512</v>
      </c>
      <c r="C42" s="38" t="s">
        <v>448</v>
      </c>
      <c r="D42" s="39" t="s">
        <v>442</v>
      </c>
      <c r="E42" s="38">
        <v>5</v>
      </c>
      <c r="F42" s="37" t="s">
        <v>513</v>
      </c>
      <c r="G42" s="35" t="s">
        <v>440</v>
      </c>
      <c r="H42" s="37" t="s">
        <v>22</v>
      </c>
    </row>
    <row r="43" spans="1:8" x14ac:dyDescent="0.25">
      <c r="A43" s="31" t="s">
        <v>242</v>
      </c>
      <c r="B43" s="32" t="s">
        <v>514</v>
      </c>
      <c r="C43" s="33" t="s">
        <v>448</v>
      </c>
      <c r="D43" s="34" t="s">
        <v>442</v>
      </c>
      <c r="E43" s="33">
        <v>3</v>
      </c>
      <c r="F43" s="32" t="s">
        <v>239</v>
      </c>
      <c r="G43" s="35" t="s">
        <v>440</v>
      </c>
      <c r="H43" s="32" t="s">
        <v>22</v>
      </c>
    </row>
    <row r="45" ht="22" customHeight="1" spans="1:9" x14ac:dyDescent="0.25">
      <c r="A45" s="44" t="s">
        <v>515</v>
      </c>
      <c r="B45" s="44"/>
      <c r="C45" s="44"/>
      <c r="D45" s="44"/>
      <c r="E45" s="44"/>
      <c r="F45" s="44"/>
      <c r="G45" s="44"/>
      <c r="H45" s="44"/>
      <c r="I45" s="44"/>
    </row>
    <row r="46" ht="18" customHeight="1" spans="1:9" x14ac:dyDescent="0.25">
      <c r="A46" s="30" t="s">
        <v>429</v>
      </c>
      <c r="B46" s="30" t="s">
        <v>430</v>
      </c>
      <c r="C46" s="30" t="s">
        <v>431</v>
      </c>
      <c r="D46" s="30" t="s">
        <v>432</v>
      </c>
      <c r="E46" s="30" t="s">
        <v>433</v>
      </c>
      <c r="F46" s="30" t="s">
        <v>435</v>
      </c>
      <c r="G46" s="30" t="s">
        <v>516</v>
      </c>
      <c r="H46" s="30" t="s">
        <v>22</v>
      </c>
      <c r="I46" s="30" t="s">
        <v>22</v>
      </c>
    </row>
    <row r="47" spans="1:9" x14ac:dyDescent="0.25">
      <c r="A47" s="31" t="s">
        <v>269</v>
      </c>
      <c r="B47" s="32" t="s">
        <v>265</v>
      </c>
      <c r="C47" s="33" t="s">
        <v>457</v>
      </c>
      <c r="D47" s="32" t="s">
        <v>465</v>
      </c>
      <c r="E47" s="33">
        <v>2</v>
      </c>
      <c r="F47" s="45" t="s">
        <v>440</v>
      </c>
      <c r="G47" s="32" t="s">
        <v>517</v>
      </c>
      <c r="H47" s="32"/>
      <c r="I47" s="32"/>
    </row>
    <row r="48" spans="1:9" x14ac:dyDescent="0.25">
      <c r="A48" s="31" t="s">
        <v>275</v>
      </c>
      <c r="B48" s="32" t="s">
        <v>518</v>
      </c>
      <c r="C48" s="33" t="s">
        <v>457</v>
      </c>
      <c r="D48" s="32" t="s">
        <v>482</v>
      </c>
      <c r="E48" s="33">
        <v>2</v>
      </c>
      <c r="F48" s="46" t="s">
        <v>519</v>
      </c>
      <c r="G48" s="32" t="s">
        <v>520</v>
      </c>
      <c r="H48" s="32"/>
      <c r="I48" s="32"/>
    </row>
    <row r="49" spans="1:9" x14ac:dyDescent="0.25">
      <c r="A49" s="31" t="s">
        <v>282</v>
      </c>
      <c r="B49" s="32" t="s">
        <v>278</v>
      </c>
      <c r="C49" s="33" t="s">
        <v>521</v>
      </c>
      <c r="D49" s="32" t="s">
        <v>482</v>
      </c>
      <c r="E49" s="33">
        <v>8</v>
      </c>
      <c r="F49" s="46" t="s">
        <v>519</v>
      </c>
      <c r="G49" s="32" t="s">
        <v>522</v>
      </c>
      <c r="H49" s="32"/>
      <c r="I49" s="32"/>
    </row>
    <row r="50" spans="1:9" x14ac:dyDescent="0.25">
      <c r="A50" s="31" t="s">
        <v>286</v>
      </c>
      <c r="B50" s="32" t="s">
        <v>523</v>
      </c>
      <c r="C50" s="33" t="s">
        <v>521</v>
      </c>
      <c r="D50" s="32" t="s">
        <v>482</v>
      </c>
      <c r="E50" s="33">
        <v>5</v>
      </c>
      <c r="F50" s="46" t="s">
        <v>519</v>
      </c>
      <c r="G50" s="32" t="s">
        <v>524</v>
      </c>
      <c r="H50" s="32"/>
      <c r="I50" s="32"/>
    </row>
    <row r="52" ht="22" customHeight="1" spans="1:9" x14ac:dyDescent="0.25">
      <c r="A52" s="47" t="s">
        <v>525</v>
      </c>
      <c r="B52" s="47"/>
      <c r="C52" s="47"/>
      <c r="D52" s="47"/>
      <c r="E52" s="47"/>
      <c r="F52" s="47"/>
      <c r="G52" s="47"/>
      <c r="H52" s="47"/>
      <c r="I52" s="47"/>
    </row>
    <row r="53" ht="18" customHeight="1" spans="1:9" x14ac:dyDescent="0.25">
      <c r="A53" s="30" t="s">
        <v>4</v>
      </c>
      <c r="B53" s="30" t="s">
        <v>3</v>
      </c>
      <c r="C53" s="30" t="s">
        <v>6</v>
      </c>
      <c r="D53" s="30" t="s">
        <v>526</v>
      </c>
      <c r="E53" s="30" t="s">
        <v>22</v>
      </c>
      <c r="F53" s="30" t="s">
        <v>22</v>
      </c>
      <c r="G53" s="30" t="s">
        <v>22</v>
      </c>
      <c r="H53" s="30" t="s">
        <v>22</v>
      </c>
      <c r="I53" s="30" t="s">
        <v>22</v>
      </c>
    </row>
    <row r="54" spans="1:9" x14ac:dyDescent="0.25">
      <c r="A54" s="48" t="s">
        <v>23</v>
      </c>
      <c r="B54" s="32" t="s">
        <v>13</v>
      </c>
      <c r="C54" s="49" t="s">
        <v>25</v>
      </c>
      <c r="D54" s="32" t="s">
        <v>527</v>
      </c>
      <c r="E54" s="32"/>
      <c r="F54" s="32"/>
      <c r="G54" s="32"/>
      <c r="H54" s="32"/>
      <c r="I54" s="32"/>
    </row>
    <row r="55" spans="1:9" x14ac:dyDescent="0.25">
      <c r="A55" s="48" t="s">
        <v>45</v>
      </c>
      <c r="B55" s="32" t="s">
        <v>13</v>
      </c>
      <c r="C55" s="49" t="s">
        <v>47</v>
      </c>
      <c r="D55" s="32" t="s">
        <v>528</v>
      </c>
      <c r="E55" s="32"/>
      <c r="F55" s="32"/>
      <c r="G55" s="32"/>
      <c r="H55" s="32"/>
      <c r="I55" s="32"/>
    </row>
    <row r="56" spans="1:9" x14ac:dyDescent="0.25">
      <c r="A56" s="48" t="s">
        <v>138</v>
      </c>
      <c r="B56" s="32" t="s">
        <v>122</v>
      </c>
      <c r="C56" s="49" t="s">
        <v>140</v>
      </c>
      <c r="D56" s="32" t="s">
        <v>529</v>
      </c>
      <c r="E56" s="32"/>
      <c r="F56" s="32"/>
      <c r="G56" s="32"/>
      <c r="H56" s="32"/>
      <c r="I56" s="32"/>
    </row>
    <row r="57" spans="1:9" x14ac:dyDescent="0.25">
      <c r="A57" s="48" t="s">
        <v>195</v>
      </c>
      <c r="B57" s="32" t="s">
        <v>186</v>
      </c>
      <c r="C57" s="49" t="s">
        <v>197</v>
      </c>
      <c r="D57" s="32" t="s">
        <v>530</v>
      </c>
      <c r="E57" s="32"/>
      <c r="F57" s="32"/>
      <c r="G57" s="32"/>
      <c r="H57" s="32"/>
      <c r="I57" s="32"/>
    </row>
    <row r="58" spans="1:9" x14ac:dyDescent="0.25">
      <c r="A58" s="48" t="s">
        <v>204</v>
      </c>
      <c r="B58" s="32" t="s">
        <v>186</v>
      </c>
      <c r="C58" s="49" t="s">
        <v>206</v>
      </c>
      <c r="D58" s="32" t="s">
        <v>531</v>
      </c>
      <c r="E58" s="32"/>
      <c r="F58" s="32"/>
      <c r="G58" s="32"/>
      <c r="H58" s="32"/>
      <c r="I58" s="32"/>
    </row>
    <row r="60" ht="22" customHeight="1" spans="1:9" x14ac:dyDescent="0.25">
      <c r="A60" s="50" t="s">
        <v>532</v>
      </c>
      <c r="B60" s="50"/>
      <c r="C60" s="50"/>
      <c r="D60" s="50"/>
      <c r="E60" s="50"/>
      <c r="F60" s="50"/>
      <c r="G60" s="50"/>
      <c r="H60" s="50"/>
      <c r="I60" s="50"/>
    </row>
    <row r="61" ht="18" customHeight="1" spans="1:9" x14ac:dyDescent="0.25">
      <c r="A61" s="30" t="s">
        <v>4</v>
      </c>
      <c r="B61" s="30" t="s">
        <v>3</v>
      </c>
      <c r="C61" s="30" t="s">
        <v>5</v>
      </c>
      <c r="D61" s="30" t="s">
        <v>533</v>
      </c>
      <c r="E61" s="30" t="s">
        <v>8</v>
      </c>
      <c r="F61" s="30" t="s">
        <v>534</v>
      </c>
      <c r="G61" s="30" t="s">
        <v>22</v>
      </c>
      <c r="H61" s="30" t="s">
        <v>22</v>
      </c>
      <c r="I61" s="30" t="s">
        <v>22</v>
      </c>
    </row>
    <row r="62" spans="1:9" x14ac:dyDescent="0.25">
      <c r="A62" s="48" t="s">
        <v>288</v>
      </c>
      <c r="B62" s="32" t="s">
        <v>67</v>
      </c>
      <c r="C62" s="32" t="s">
        <v>535</v>
      </c>
      <c r="D62" s="32" t="s">
        <v>536</v>
      </c>
      <c r="E62" s="51" t="s">
        <v>465</v>
      </c>
      <c r="F62" s="52" t="s">
        <v>537</v>
      </c>
      <c r="G62" s="52"/>
      <c r="H62" s="52"/>
      <c r="I62" s="52"/>
    </row>
    <row r="63" spans="1:9" x14ac:dyDescent="0.25">
      <c r="A63" s="48" t="s">
        <v>293</v>
      </c>
      <c r="B63" s="32" t="s">
        <v>67</v>
      </c>
      <c r="C63" s="32" t="s">
        <v>538</v>
      </c>
      <c r="D63" s="32" t="s">
        <v>539</v>
      </c>
      <c r="E63" s="51" t="s">
        <v>482</v>
      </c>
      <c r="F63" s="52" t="s">
        <v>540</v>
      </c>
      <c r="G63" s="52"/>
      <c r="H63" s="52"/>
      <c r="I63" s="52"/>
    </row>
    <row r="64" spans="1:9" x14ac:dyDescent="0.25">
      <c r="A64" s="48" t="s">
        <v>296</v>
      </c>
      <c r="B64" s="32" t="s">
        <v>141</v>
      </c>
      <c r="C64" s="32" t="s">
        <v>541</v>
      </c>
      <c r="D64" s="32" t="s">
        <v>542</v>
      </c>
      <c r="E64" s="51" t="s">
        <v>482</v>
      </c>
      <c r="F64" s="52" t="s">
        <v>543</v>
      </c>
      <c r="G64" s="52"/>
      <c r="H64" s="52"/>
      <c r="I64" s="52"/>
    </row>
    <row r="65" spans="1:9" x14ac:dyDescent="0.25">
      <c r="A65" s="48" t="s">
        <v>300</v>
      </c>
      <c r="B65" s="32" t="s">
        <v>299</v>
      </c>
      <c r="C65" s="32" t="s">
        <v>544</v>
      </c>
      <c r="D65" s="32" t="s">
        <v>545</v>
      </c>
      <c r="E65" s="51" t="s">
        <v>482</v>
      </c>
      <c r="F65" s="52" t="s">
        <v>546</v>
      </c>
      <c r="G65" s="52"/>
      <c r="H65" s="52"/>
      <c r="I65" s="52"/>
    </row>
    <row r="66" spans="1:9" x14ac:dyDescent="0.25">
      <c r="A66" s="48" t="s">
        <v>303</v>
      </c>
      <c r="B66" s="32" t="s">
        <v>186</v>
      </c>
      <c r="C66" s="32" t="s">
        <v>547</v>
      </c>
      <c r="D66" s="32" t="s">
        <v>548</v>
      </c>
      <c r="E66" s="51" t="s">
        <v>482</v>
      </c>
      <c r="F66" s="52" t="s">
        <v>549</v>
      </c>
      <c r="G66" s="52"/>
      <c r="H66" s="52"/>
      <c r="I66" s="52"/>
    </row>
    <row r="68" spans="1:7" x14ac:dyDescent="0.25">
      <c r="A68" s="44" t="s">
        <v>550</v>
      </c>
      <c r="B68" s="44"/>
      <c r="C68" s="44"/>
      <c r="D68" s="44"/>
      <c r="E68" s="44"/>
      <c r="F68" s="44"/>
      <c r="G68" s="44"/>
    </row>
    <row r="69" spans="1:7" x14ac:dyDescent="0.25">
      <c r="A69" s="30" t="s">
        <v>429</v>
      </c>
      <c r="B69" s="30" t="s">
        <v>430</v>
      </c>
      <c r="C69" s="30" t="s">
        <v>431</v>
      </c>
      <c r="D69" s="30" t="s">
        <v>432</v>
      </c>
      <c r="E69" s="30" t="s">
        <v>433</v>
      </c>
      <c r="F69" s="30" t="s">
        <v>435</v>
      </c>
      <c r="G69" s="30" t="s">
        <v>516</v>
      </c>
    </row>
    <row r="70" spans="1:7" x14ac:dyDescent="0.25">
      <c r="A70" s="31" t="s">
        <v>551</v>
      </c>
      <c r="B70" s="32" t="s">
        <v>306</v>
      </c>
      <c r="C70" s="33" t="s">
        <v>457</v>
      </c>
      <c r="D70" s="32" t="s">
        <v>482</v>
      </c>
      <c r="E70" s="33">
        <v>8</v>
      </c>
      <c r="F70" s="45" t="s">
        <v>519</v>
      </c>
      <c r="G70" s="32" t="s">
        <v>552</v>
      </c>
    </row>
    <row r="71" spans="1:7" x14ac:dyDescent="0.25">
      <c r="A71" s="31" t="s">
        <v>553</v>
      </c>
      <c r="B71" s="32" t="s">
        <v>311</v>
      </c>
      <c r="C71" s="33" t="s">
        <v>457</v>
      </c>
      <c r="D71" s="32" t="s">
        <v>554</v>
      </c>
      <c r="E71" s="33">
        <v>13</v>
      </c>
      <c r="F71" s="46" t="s">
        <v>519</v>
      </c>
      <c r="G71" s="32" t="s">
        <v>555</v>
      </c>
    </row>
    <row r="72" spans="1:7" x14ac:dyDescent="0.25">
      <c r="A72" s="31" t="s">
        <v>556</v>
      </c>
      <c r="B72" s="32" t="s">
        <v>316</v>
      </c>
      <c r="C72" s="33" t="s">
        <v>457</v>
      </c>
      <c r="D72" s="32" t="s">
        <v>465</v>
      </c>
      <c r="E72" s="33">
        <v>3</v>
      </c>
      <c r="F72" s="45" t="s">
        <v>440</v>
      </c>
      <c r="G72" s="32" t="s">
        <v>557</v>
      </c>
    </row>
    <row r="73" spans="1:7" x14ac:dyDescent="0.25">
      <c r="A73" s="31" t="s">
        <v>558</v>
      </c>
      <c r="B73" s="32" t="s">
        <v>320</v>
      </c>
      <c r="C73" s="33" t="s">
        <v>457</v>
      </c>
      <c r="D73" s="32" t="s">
        <v>482</v>
      </c>
      <c r="E73" s="33">
        <v>8</v>
      </c>
      <c r="F73" s="46" t="s">
        <v>510</v>
      </c>
      <c r="G73" s="32" t="s">
        <v>559</v>
      </c>
    </row>
    <row r="74" spans="1:7" x14ac:dyDescent="0.25">
      <c r="A74" s="31" t="s">
        <v>560</v>
      </c>
      <c r="B74" s="32" t="s">
        <v>324</v>
      </c>
      <c r="C74" s="33" t="s">
        <v>457</v>
      </c>
      <c r="D74" s="32" t="s">
        <v>482</v>
      </c>
      <c r="E74" s="33">
        <v>8</v>
      </c>
      <c r="F74" s="45" t="s">
        <v>519</v>
      </c>
      <c r="G74" s="32" t="s">
        <v>561</v>
      </c>
    </row>
    <row r="75" spans="1:7" x14ac:dyDescent="0.25">
      <c r="A75" s="31" t="s">
        <v>562</v>
      </c>
      <c r="B75" s="32" t="s">
        <v>327</v>
      </c>
      <c r="C75" s="33" t="s">
        <v>457</v>
      </c>
      <c r="D75" s="32" t="s">
        <v>482</v>
      </c>
      <c r="E75" s="33">
        <v>8</v>
      </c>
      <c r="F75" s="46" t="s">
        <v>519</v>
      </c>
      <c r="G75" s="32" t="s">
        <v>563</v>
      </c>
    </row>
    <row r="76" spans="1:7" x14ac:dyDescent="0.25">
      <c r="A76" s="31" t="s">
        <v>332</v>
      </c>
      <c r="B76" s="32" t="s">
        <v>330</v>
      </c>
      <c r="C76" s="33" t="s">
        <v>457</v>
      </c>
      <c r="D76" s="32" t="s">
        <v>482</v>
      </c>
      <c r="E76" s="33" t="s">
        <v>564</v>
      </c>
      <c r="F76" s="45" t="s">
        <v>519</v>
      </c>
      <c r="G76" s="32" t="s">
        <v>565</v>
      </c>
    </row>
  </sheetData>
  <mergeCells count="20">
    <mergeCell ref="A1:I1"/>
    <mergeCell ref="A2:I2"/>
    <mergeCell ref="A3:I3"/>
    <mergeCell ref="A45:I45"/>
    <mergeCell ref="G47:I47"/>
    <mergeCell ref="G48:I48"/>
    <mergeCell ref="G49:I49"/>
    <mergeCell ref="G50:I50"/>
    <mergeCell ref="A52:I52"/>
    <mergeCell ref="D54:I54"/>
    <mergeCell ref="D55:I55"/>
    <mergeCell ref="D56:I56"/>
    <mergeCell ref="D57:I57"/>
    <mergeCell ref="D58:I58"/>
    <mergeCell ref="A60:I60"/>
    <mergeCell ref="F62:I62"/>
    <mergeCell ref="F63:I63"/>
    <mergeCell ref="F64:I64"/>
    <mergeCell ref="F65:I65"/>
    <mergeCell ref="F66:I6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30" customWidth="1"/>
    <col min="2" max="2" width="12" customWidth="1"/>
    <col min="3" max="3" width="14" customWidth="1"/>
  </cols>
  <sheetData>
    <row r="1" ht="26" customHeight="1" spans="1:3" x14ac:dyDescent="0.25">
      <c r="A1" s="53" t="s">
        <v>566</v>
      </c>
      <c r="B1" s="53"/>
      <c r="C1" s="53"/>
    </row>
    <row r="3" ht="18" customHeight="1" spans="1:3" x14ac:dyDescent="0.25">
      <c r="A3" s="54" t="s">
        <v>567</v>
      </c>
      <c r="B3" s="54"/>
      <c r="C3" s="54"/>
    </row>
    <row r="4" spans="1:3" x14ac:dyDescent="0.25">
      <c r="A4" s="55" t="s">
        <v>8</v>
      </c>
      <c r="B4" s="55" t="s">
        <v>568</v>
      </c>
      <c r="C4" s="55" t="s">
        <v>569</v>
      </c>
    </row>
    <row r="5" spans="1:3" x14ac:dyDescent="0.25">
      <c r="A5" s="56" t="s">
        <v>18</v>
      </c>
      <c r="B5" s="57">
        <f>COUNTIF('Feature List'!$G$5:$G$200,"Done")</f>
      </c>
      <c r="C5" s="58">
        <f>IF(COUNTA('Feature List'!$G$5:$G$200)=0,0,COUNTIF('Feature List'!$G$5:$G$200,"Done")/COUNTA('Feature List'!$G$5:$G$200))</f>
      </c>
    </row>
    <row r="6" spans="1:3" x14ac:dyDescent="0.25">
      <c r="A6" s="56" t="s">
        <v>314</v>
      </c>
      <c r="B6" s="57">
        <f>COUNTIF('Feature List'!$G$5:$G$200,"In Progress")</f>
      </c>
      <c r="C6" s="58">
        <f>IF(COUNTA('Feature List'!$G$5:$G$200)=0,0,COUNTIF('Feature List'!$G$5:$G$200,"In Progress")/COUNTA('Feature List'!$G$5:$G$200))</f>
      </c>
    </row>
    <row r="7" spans="1:3" x14ac:dyDescent="0.25">
      <c r="A7" s="56" t="s">
        <v>274</v>
      </c>
      <c r="B7" s="57">
        <f>COUNTIF('Feature List'!$G$5:$G$200,"Not Started")</f>
      </c>
      <c r="C7" s="58">
        <f>IF(COUNTA('Feature List'!$G$5:$G$200)=0,0,COUNTIF('Feature List'!$G$5:$G$200,"Not Started")/COUNTA('Feature List'!$G$5:$G$200))</f>
      </c>
    </row>
    <row r="8" spans="1:3" x14ac:dyDescent="0.25">
      <c r="A8" s="56" t="s">
        <v>570</v>
      </c>
      <c r="B8" s="57">
        <f>COUNTIF('Feature List'!$G$5:$G$200,"Backlog")</f>
      </c>
      <c r="C8" s="58">
        <f>IF(COUNTA('Feature List'!$G$5:$G$200)=0,0,COUNTIF('Feature List'!$G$5:$G$200,"Backlog")/COUNTA('Feature List'!$G$5:$G$200))</f>
      </c>
    </row>
    <row r="9" spans="1:3" x14ac:dyDescent="0.25">
      <c r="A9" s="56" t="s">
        <v>571</v>
      </c>
      <c r="B9" s="57">
        <f>COUNTIF('Feature List'!$G$5:$G$200,"Blocked")</f>
      </c>
      <c r="C9" s="58">
        <f>IF(COUNTA('Feature List'!$G$5:$G$200)=0,0,COUNTIF('Feature List'!$G$5:$G$200,"Blocked")/COUNTA('Feature List'!$G$5:$G$200))</f>
      </c>
    </row>
    <row r="10" spans="1:3" x14ac:dyDescent="0.25">
      <c r="A10" s="59" t="s">
        <v>572</v>
      </c>
      <c r="B10" s="60">
        <f>COUNTA('Feature List'!$G$5:$G$200)</f>
      </c>
      <c r="C10" s="61">
        <f>IF(COUNTA('Feature List'!$G$5:$G$200)=0,0,1)</f>
      </c>
    </row>
    <row r="12" ht="18" customHeight="1" spans="1:3" x14ac:dyDescent="0.25">
      <c r="A12" s="54" t="s">
        <v>10</v>
      </c>
      <c r="B12" s="54"/>
      <c r="C12" s="54"/>
    </row>
    <row r="13" spans="1:3" x14ac:dyDescent="0.25">
      <c r="A13" s="55" t="s">
        <v>10</v>
      </c>
      <c r="B13" s="55" t="s">
        <v>568</v>
      </c>
      <c r="C13" s="55" t="s">
        <v>569</v>
      </c>
    </row>
    <row r="14" spans="1:3" x14ac:dyDescent="0.25">
      <c r="A14" s="56" t="s">
        <v>20</v>
      </c>
      <c r="B14" s="57">
        <f>COUNTIF('Feature List'!$I$5:$I$200,"Not Tested")</f>
      </c>
      <c r="C14" s="58">
        <f>IF(COUNTA('Feature List'!$I$5:$I$200)=0,0,COUNTIF('Feature List'!$I$5:$I$200,"Not Tested")/COUNTA('Feature List'!$I$5:$I$200))</f>
      </c>
    </row>
    <row r="15" spans="1:3" x14ac:dyDescent="0.25">
      <c r="A15" s="56" t="s">
        <v>314</v>
      </c>
      <c r="B15" s="57">
        <f>COUNTIF('Feature List'!$I$5:$I$200,"In Progress")</f>
      </c>
      <c r="C15" s="58">
        <f>IF(COUNTA('Feature List'!$I$5:$I$200)=0,0,COUNTIF('Feature List'!$I$5:$I$200,"In Progress")/COUNTA('Feature List'!$I$5:$I$200))</f>
      </c>
    </row>
    <row r="16" spans="1:3" x14ac:dyDescent="0.25">
      <c r="A16" s="56" t="s">
        <v>30</v>
      </c>
      <c r="B16" s="57">
        <f>COUNTIF('Feature List'!$I$5:$I$200,"Pass")</f>
      </c>
      <c r="C16" s="58">
        <f>IF(COUNTA('Feature List'!$I$5:$I$200)=0,0,COUNTIF('Feature List'!$I$5:$I$200,"Pass")/COUNTA('Feature List'!$I$5:$I$200))</f>
      </c>
    </row>
    <row r="17" spans="1:3" x14ac:dyDescent="0.25">
      <c r="A17" s="56" t="s">
        <v>573</v>
      </c>
      <c r="B17" s="57">
        <f>COUNTIF('Feature List'!$I$5:$I$200,"Failed")</f>
      </c>
      <c r="C17" s="58">
        <f>IF(COUNTA('Feature List'!$I$5:$I$200)=0,0,COUNTIF('Feature List'!$I$5:$I$200,"Failed")/COUNTA('Feature List'!$I$5:$I$200))</f>
      </c>
    </row>
    <row r="18" spans="1:3" x14ac:dyDescent="0.25">
      <c r="A18" s="56" t="s">
        <v>571</v>
      </c>
      <c r="B18" s="57">
        <f>COUNTIF('Feature List'!$I$5:$I$200,"Blocked")</f>
      </c>
      <c r="C18" s="58">
        <f>IF(COUNTA('Feature List'!$I$5:$I$200)=0,0,COUNTIF('Feature List'!$I$5:$I$200,"Blocked")/COUNTA('Feature List'!$I$5:$I$200))</f>
      </c>
    </row>
    <row r="19" spans="1:3" x14ac:dyDescent="0.25">
      <c r="A19" s="59" t="s">
        <v>572</v>
      </c>
      <c r="B19" s="60">
        <f>COUNTA('Feature List'!$I$5:$I$200)</f>
      </c>
      <c r="C19" s="61">
        <f>IF(COUNTA('Feature List'!$I$5:$I$200)=0,0,1)</f>
      </c>
    </row>
    <row r="21" ht="18" customHeight="1" spans="1:3" x14ac:dyDescent="0.25">
      <c r="A21" s="54" t="s">
        <v>7</v>
      </c>
      <c r="B21" s="54"/>
      <c r="C21" s="54"/>
    </row>
    <row r="22" spans="1:3" x14ac:dyDescent="0.25">
      <c r="A22" s="55" t="s">
        <v>7</v>
      </c>
      <c r="B22" s="55" t="s">
        <v>568</v>
      </c>
      <c r="C22" s="55" t="s">
        <v>569</v>
      </c>
    </row>
    <row r="23" spans="1:3" x14ac:dyDescent="0.25">
      <c r="A23" s="56" t="s">
        <v>17</v>
      </c>
      <c r="B23" s="57">
        <f>COUNTIF('Feature List'!$F$5:$F$200,"Existing")</f>
      </c>
      <c r="C23" s="58">
        <f>IF(COUNTA('Feature List'!$F$5:$F$200)=0,0,COUNTIF('Feature List'!$F$5:$F$200,"Existing")/COUNTA('Feature List'!$F$5:$F$200))</f>
      </c>
    </row>
    <row r="24" spans="1:3" x14ac:dyDescent="0.25">
      <c r="A24" s="56" t="s">
        <v>268</v>
      </c>
      <c r="B24" s="57">
        <f>COUNTIF('Feature List'!$F$5:$F$200,"DevOps Backlog")</f>
      </c>
      <c r="C24" s="58">
        <f>IF(COUNTA('Feature List'!$F$5:$F$200)=0,0,COUNTIF('Feature List'!$F$5:$F$200,"DevOps Backlog")/COUNTA('Feature List'!$F$5:$F$200))</f>
      </c>
    </row>
    <row r="25" spans="1:3" x14ac:dyDescent="0.25">
      <c r="A25" s="56" t="s">
        <v>291</v>
      </c>
      <c r="B25" s="57">
        <f>COUNTIF('Feature List'!$F$5:$F$200,"New Requirement")</f>
      </c>
      <c r="C25" s="58">
        <f>IF(COUNTA('Feature List'!$F$5:$F$200)=0,0,COUNTIF('Feature List'!$F$5:$F$200,"New Requirement")/COUNTA('Feature List'!$F$5:$F$200))</f>
      </c>
    </row>
    <row r="26" spans="1:3" x14ac:dyDescent="0.25">
      <c r="A26" s="59" t="s">
        <v>308</v>
      </c>
      <c r="B26" s="60">
        <f>COUNTIF('Feature List'!$F$5:$F$200,"Nice to Have")</f>
      </c>
      <c r="C26" s="61">
        <f>IF(COUNTA('Feature List'!$F$5:$F$200)=0,0,COUNTIF('Feature List'!$F$5:$F$200,"Nice to Have")/COUNTA('Feature List'!$F$5:$F$200))</f>
      </c>
    </row>
    <row r="27" spans="1:3" x14ac:dyDescent="0.25">
      <c r="A27" s="59" t="s">
        <v>572</v>
      </c>
      <c r="B27" s="60">
        <f>COUNTA('Feature List'!$F$5:$F$200)</f>
      </c>
      <c r="C27" s="61">
        <f>IF(COUNTA('Feature List'!$F$5:$F$200)=0,0,1)</f>
      </c>
    </row>
    <row r="28" spans="1:3" x14ac:dyDescent="0.25">
      <c r="A28" s="62" t="s">
        <v>574</v>
      </c>
      <c r="B28" s="62"/>
      <c r="C28" s="62"/>
    </row>
    <row r="29" spans="1:2" x14ac:dyDescent="0.25">
      <c r="A29" s="56" t="s">
        <v>575</v>
      </c>
      <c r="B29" s="57">
        <v>60</v>
      </c>
    </row>
    <row r="30" spans="1:2" x14ac:dyDescent="0.25">
      <c r="A30" s="56" t="s">
        <v>576</v>
      </c>
      <c r="B30" s="57">
        <v>60</v>
      </c>
    </row>
    <row r="31" spans="1:2" x14ac:dyDescent="0.25">
      <c r="A31" s="56" t="s">
        <v>577</v>
      </c>
      <c r="B31" s="57">
        <v>4</v>
      </c>
    </row>
    <row r="32" spans="1:2" x14ac:dyDescent="0.25">
      <c r="A32" s="56" t="s">
        <v>578</v>
      </c>
      <c r="B32" s="57">
        <v>4</v>
      </c>
    </row>
    <row r="33" spans="1:2" x14ac:dyDescent="0.25">
      <c r="A33" s="56" t="s">
        <v>579</v>
      </c>
      <c r="B33" s="57">
        <v>0</v>
      </c>
    </row>
    <row r="34" spans="1:2" x14ac:dyDescent="0.25">
      <c r="A34" s="56" t="s">
        <v>580</v>
      </c>
      <c r="B34" s="57">
        <v>2</v>
      </c>
    </row>
  </sheetData>
  <mergeCells count="5">
    <mergeCell ref="A1:C1"/>
    <mergeCell ref="A3:C3"/>
    <mergeCell ref="A12:C12"/>
    <mergeCell ref="A21:C21"/>
    <mergeCell ref="A28:C2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18" customWidth="1"/>
    <col min="2" max="2" width="95" customWidth="1"/>
  </cols>
  <sheetData>
    <row r="1" ht="26" customHeight="1" spans="1:2" x14ac:dyDescent="0.25">
      <c r="A1" s="53" t="s">
        <v>581</v>
      </c>
      <c r="B1" s="53"/>
    </row>
    <row r="3" ht="20" customHeight="1" spans="1:2" x14ac:dyDescent="0.25">
      <c r="A3" s="63" t="s">
        <v>582</v>
      </c>
      <c r="B3" s="64" t="s">
        <v>583</v>
      </c>
    </row>
    <row r="4" ht="34" customHeight="1" spans="1:2" x14ac:dyDescent="0.25">
      <c r="A4" s="65" t="s">
        <v>7</v>
      </c>
      <c r="B4" s="66" t="s">
        <v>584</v>
      </c>
    </row>
    <row r="5" ht="34" customHeight="1" spans="1:2" x14ac:dyDescent="0.25">
      <c r="A5" s="65" t="s">
        <v>8</v>
      </c>
      <c r="B5" s="66" t="s">
        <v>585</v>
      </c>
    </row>
    <row r="6" ht="34" customHeight="1" spans="1:2" x14ac:dyDescent="0.25">
      <c r="A6" s="65" t="s">
        <v>9</v>
      </c>
      <c r="B6" s="66" t="s">
        <v>586</v>
      </c>
    </row>
    <row r="7" ht="34" customHeight="1" spans="1:2" x14ac:dyDescent="0.25">
      <c r="A7" s="65" t="s">
        <v>10</v>
      </c>
      <c r="B7" s="66" t="s">
        <v>587</v>
      </c>
    </row>
    <row r="8" ht="34" customHeight="1" spans="1:2" x14ac:dyDescent="0.25">
      <c r="A8" s="65" t="s">
        <v>11</v>
      </c>
      <c r="B8" s="66" t="s">
        <v>588</v>
      </c>
    </row>
    <row r="9" ht="34" customHeight="1" spans="1:2" x14ac:dyDescent="0.25">
      <c r="A9" s="65" t="s">
        <v>12</v>
      </c>
      <c r="B9" s="66" t="s">
        <v>589</v>
      </c>
    </row>
    <row r="10" ht="34" customHeight="1" spans="1:2" x14ac:dyDescent="0.25">
      <c r="A10" s="65" t="s">
        <v>590</v>
      </c>
      <c r="B10" s="66" t="s">
        <v>591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List</vt:lpstr>
      <vt:lpstr>Comparison</vt:lpstr>
      <vt:lpstr>Summary</vt:lpstr>
      <vt:lpstr>Status 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 Taxonomy</dc:creator>
  <dc:title/>
  <dc:subject/>
  <dc:description/>
  <cp:keywords/>
  <cp:category/>
  <cp:lastModifiedBy>Unknown</cp:lastModifiedBy>
  <dcterms:created xsi:type="dcterms:W3CDTF">2026-08-04T09:23:30Z</dcterms:created>
  <dcterms:modified xsi:type="dcterms:W3CDTF">2026-08-04T09:23:30Z</dcterms:modified>
</cp:coreProperties>
</file>